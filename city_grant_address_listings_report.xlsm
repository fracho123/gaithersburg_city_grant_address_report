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3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4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5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6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\\wsl.localhost\Ubuntu\home\fra_cho\projects\gaithersburg_city_grant_address_report\"/>
    </mc:Choice>
  </mc:AlternateContent>
  <xr:revisionPtr revIDLastSave="0" documentId="13_ncr:1_{40BE0550-3A32-4F9E-9339-6327EF826D3F}" xr6:coauthVersionLast="47" xr6:coauthVersionMax="47" xr10:uidLastSave="{00000000-0000-0000-0000-000000000000}"/>
  <bookViews>
    <workbookView xWindow="23805" yWindow="4005" windowWidth="22800" windowHeight="10455" tabRatio="581" xr2:uid="{00000000-000D-0000-FFFF-FFFF00000000}"/>
  </bookViews>
  <sheets>
    <sheet name="Home" sheetId="2" r:id="rId1"/>
    <sheet name="NonRx Report" sheetId="6" r:id="rId2"/>
    <sheet name="Needs Autocorrect" sheetId="7" r:id="rId3"/>
    <sheet name="Rx Report" sheetId="8" r:id="rId4"/>
    <sheet name="Rx" sheetId="9" r:id="rId5"/>
    <sheet name="Addresses" sheetId="1" r:id="rId6"/>
    <sheet name="Discards" sheetId="3" r:id="rId7"/>
    <sheet name="Autocorrected" sheetId="4" r:id="rId8"/>
  </sheets>
  <functionGroups builtInGroupCount="19"/>
  <definedNames>
    <definedName name="_xlnm._FilterDatabase" localSheetId="5" hidden="1">Addresses!$A$1:$R$1</definedName>
    <definedName name="_xlnm._FilterDatabase" localSheetId="7" hidden="1">Autocorrected!$A$1:$R$1</definedName>
    <definedName name="_xlnm._FilterDatabase" localSheetId="6" hidden="1">Discards!$A$1:$R$1</definedName>
    <definedName name="_xlnm._FilterDatabase" localSheetId="0" hidden="1">Home!$A$1:$CS$663</definedName>
    <definedName name="_xlnm._FilterDatabase" localSheetId="2" hidden="1">'Needs Autocorrect'!$A$1:$R$1</definedName>
    <definedName name="_xlnm._FilterDatabase" localSheetId="1" hidden="1">'NonRx Report'!$A$2:$P$2</definedName>
    <definedName name="_xlnm._FilterDatabase" localSheetId="3" hidden="1">'Rx Report'!$A$2:$M$2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7" i="2" l="1"/>
  <c r="G6" i="2"/>
  <c r="AF3" i="2"/>
  <c r="AE3" i="2"/>
  <c r="AD3" i="2"/>
  <c r="AC3" i="2"/>
  <c r="O6" i="9" l="1"/>
  <c r="O5" i="9"/>
  <c r="O4" i="9"/>
  <c r="O3" i="9"/>
  <c r="O2" i="9"/>
  <c r="O3" i="2" l="1"/>
  <c r="N3" i="2"/>
  <c r="M3" i="2"/>
  <c r="L3" i="2"/>
  <c r="O4" i="2"/>
  <c r="N4" i="2"/>
  <c r="M4" i="2"/>
  <c r="L4" i="2"/>
  <c r="O5" i="2"/>
  <c r="N5" i="2"/>
  <c r="M5" i="2"/>
  <c r="L5" i="2"/>
  <c r="O2" i="2" l="1"/>
  <c r="N2" i="2"/>
  <c r="M2" i="2"/>
  <c r="L2" i="2"/>
  <c r="P5" i="2"/>
  <c r="P3" i="2"/>
  <c r="P4" i="2"/>
  <c r="P2" i="2" l="1"/>
</calcChain>
</file>

<file path=xl/sharedStrings.xml><?xml version="1.0" encoding="utf-8"?>
<sst xmlns="http://schemas.openxmlformats.org/spreadsheetml/2006/main" count="270" uniqueCount="157">
  <si>
    <t>Q1</t>
  </si>
  <si>
    <t>Q2</t>
  </si>
  <si>
    <t>Q3</t>
  </si>
  <si>
    <t>Q4</t>
  </si>
  <si>
    <t>Visit on</t>
  </si>
  <si>
    <t>Service</t>
  </si>
  <si>
    <t>Guest ID</t>
  </si>
  <si>
    <t>First Name</t>
  </si>
  <si>
    <t>Last Name</t>
  </si>
  <si>
    <t>Physical Address</t>
  </si>
  <si>
    <t>Apt.</t>
  </si>
  <si>
    <t>St.</t>
  </si>
  <si>
    <t>Zip</t>
  </si>
  <si>
    <t>House.
Total</t>
  </si>
  <si>
    <t>Rx Total</t>
  </si>
  <si>
    <t>Physical City</t>
  </si>
  <si>
    <t>In City</t>
  </si>
  <si>
    <t>Apt</t>
  </si>
  <si>
    <t>City</t>
  </si>
  <si>
    <t>State</t>
  </si>
  <si>
    <t>Household Total</t>
  </si>
  <si>
    <t>Street_No</t>
  </si>
  <si>
    <t>Street_Name</t>
  </si>
  <si>
    <t>Street_Type</t>
  </si>
  <si>
    <t>Apt_No</t>
  </si>
  <si>
    <t>Client_Initials</t>
  </si>
  <si>
    <t>Validated Address</t>
  </si>
  <si>
    <t>Validated Zip Code</t>
  </si>
  <si>
    <t>Raw Address</t>
  </si>
  <si>
    <t>Validated Unit Type and No.</t>
  </si>
  <si>
    <t>Raw City</t>
  </si>
  <si>
    <t>Raw State</t>
  </si>
  <si>
    <t>Raw Unit Type With Number</t>
  </si>
  <si>
    <t>User Verified</t>
  </si>
  <si>
    <t>Raw Zipcode</t>
  </si>
  <si>
    <t>Duplicated households (# of Guest IDs, incl. multiple visits and services )</t>
  </si>
  <si>
    <t>Unduplicated households (# of unique Guest IDs)</t>
  </si>
  <si>
    <t>Unduplicated individuals (# in all households of unique Guest IDs)</t>
  </si>
  <si>
    <t>Duplicated individuals (# in all households, incl. multiple visits and services)</t>
  </si>
  <si>
    <t>Duplicated children ages 0-18</t>
  </si>
  <si>
    <t>Duplicated adults 18+</t>
  </si>
  <si>
    <t>Pounds of food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</si>
  <si>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</si>
  <si>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</si>
  <si>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</si>
  <si>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</si>
  <si>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</si>
  <si>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</si>
  <si>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</si>
  <si>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</si>
  <si>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</si>
  <si>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</si>
  <si>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</si>
  <si>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</si>
  <si>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 xml:space="preserve">20906AshtonAspenHill </t>
  </si>
  <si>
    <t xml:space="preserve">20916AshtonAspenHill </t>
  </si>
  <si>
    <t xml:space="preserve">20815Bethesda </t>
  </si>
  <si>
    <t xml:space="preserve">20825Bethesda </t>
  </si>
  <si>
    <t xml:space="preserve">20852Bethesda </t>
  </si>
  <si>
    <t xml:space="preserve">20815ChevyChaseClarksburg </t>
  </si>
  <si>
    <t xml:space="preserve">20825ChevyChaseClarksburg </t>
  </si>
  <si>
    <t xml:space="preserve">20904ColesvilleDamascus </t>
  </si>
  <si>
    <t xml:space="preserve">20905ColesvilleDamascus </t>
  </si>
  <si>
    <t xml:space="preserve">20914ColesvilleDamascus </t>
  </si>
  <si>
    <t xml:space="preserve">20874DarnestownDerwoodDickerson </t>
  </si>
  <si>
    <t xml:space="preserve">20878DarnestownDerwoodDickerson </t>
  </si>
  <si>
    <t xml:space="preserve">20855DarnestownDerwoodDickerson </t>
  </si>
  <si>
    <t xml:space="preserve">20877Gaithersburg </t>
  </si>
  <si>
    <t xml:space="preserve">20878Gaithersburg </t>
  </si>
  <si>
    <t xml:space="preserve">20879Gaithersburg </t>
  </si>
  <si>
    <t xml:space="preserve">20882Gaithersburg </t>
  </si>
  <si>
    <t xml:space="preserve">20886Gaithersburg </t>
  </si>
  <si>
    <t xml:space="preserve">20874GarrettParkGermantownGlenEcho </t>
  </si>
  <si>
    <t xml:space="preserve">20879KensingtonLaytonsville </t>
  </si>
  <si>
    <t xml:space="preserve">20882KensingtonLaytonsville </t>
  </si>
  <si>
    <t xml:space="preserve">20877MontgomeryVillageOlney </t>
  </si>
  <si>
    <t xml:space="preserve">20879MontgomeryVillageOlney </t>
  </si>
  <si>
    <t xml:space="preserve">20886MontgomeryVillageOlney </t>
  </si>
  <si>
    <t xml:space="preserve">20854PoolesvillePotomac </t>
  </si>
  <si>
    <t xml:space="preserve">20859PoolesvillePotomac </t>
  </si>
  <si>
    <t xml:space="preserve">20878PoolesvillePotomac </t>
  </si>
  <si>
    <t xml:space="preserve">20852Rockville </t>
  </si>
  <si>
    <t xml:space="preserve">20854Rockville </t>
  </si>
  <si>
    <t xml:space="preserve">20855Rockville </t>
  </si>
  <si>
    <t xml:space="preserve">20859Rockville </t>
  </si>
  <si>
    <t xml:space="preserve">20912SandySpringSpencervilleTakomaPark </t>
  </si>
  <si>
    <t xml:space="preserve">20913SandySpringSpencervilleTakomaPark </t>
  </si>
  <si>
    <t xml:space="preserve">20902SilverSpring </t>
  </si>
  <si>
    <t xml:space="preserve">20904SilverSpring </t>
  </si>
  <si>
    <t xml:space="preserve">20905SilverSpring </t>
  </si>
  <si>
    <t xml:space="preserve">20906SilverSpring </t>
  </si>
  <si>
    <t xml:space="preserve">20912SilverSpring </t>
  </si>
  <si>
    <t xml:space="preserve">20913SilverSpring </t>
  </si>
  <si>
    <t xml:space="preserve">20914SilverSpring </t>
  </si>
  <si>
    <t xml:space="preserve">20915SilverSpring </t>
  </si>
  <si>
    <t xml:space="preserve">20916SilverSpring </t>
  </si>
  <si>
    <t xml:space="preserve">20902WashingtonGroveWheaton </t>
  </si>
  <si>
    <t xml:space="preserve">20915WashingtonGroveWheaton </t>
  </si>
  <si>
    <t>0 to 1</t>
  </si>
  <si>
    <t>2 to 17</t>
  </si>
  <si>
    <t>18+</t>
  </si>
  <si>
    <t>most recent date:</t>
  </si>
  <si>
    <t>apikey:</t>
  </si>
  <si>
    <t>Delivery</t>
  </si>
  <si>
    <t>Non-delivery</t>
  </si>
  <si>
    <t>Organization</t>
  </si>
  <si>
    <t># of members</t>
  </si>
  <si>
    <t># of adults</t>
  </si>
  <si>
    <t># of children</t>
  </si>
  <si>
    <t>Final report for all services except for Rx Asst</t>
  </si>
  <si>
    <t>Final report for Rx Asst services only</t>
  </si>
  <si>
    <t>Totals for Food Report</t>
  </si>
  <si>
    <t># of Gburg residents served thru delivery + distributions (# of unduplicated household members)</t>
  </si>
  <si>
    <t># of Gburg residents served thru delivery (# of unduplicated household members)</t>
  </si>
  <si>
    <t># of Gburg residents served thru distribution (# of unduplicated household members)</t>
  </si>
  <si>
    <t>Yearly Total</t>
  </si>
  <si>
    <t>Totals for Rx Report</t>
  </si>
  <si>
    <t># of Gburg residents given Rx Asst (# of unduplicated Rx guest names)</t>
  </si>
  <si>
    <t>Yearly</t>
  </si>
  <si>
    <t>Pounds of food given - Program Total (residents + nonresidents)</t>
  </si>
  <si>
    <t># of unduplicated Rx - Program Total (Gburg residents + non residents - # of unduplicated Rx medication names and doses)</t>
  </si>
  <si>
    <t># of unduplicated Rx - Gburg Residents Only (# of unduplicated Rx medication names and doses)</t>
  </si>
  <si>
    <t>#1 Rx GUEST NAME  (first &amp;amp; last)</t>
  </si>
  <si>
    <t>--  #1 Med., dose, #dispensed</t>
  </si>
  <si>
    <t>--   #1  Cost (number only 0.00)</t>
  </si>
  <si>
    <t>#2 Rx GUEST NAME (first &amp;amp; last)</t>
  </si>
  <si>
    <t>--  #2 Med., dose, #dispensed</t>
  </si>
  <si>
    <t>--  #2 Cost (number only 0.00)</t>
  </si>
  <si>
    <t>#3 Rx GUEST NAME (first &amp;amp; last)</t>
  </si>
  <si>
    <t>--  #3 Med., dose, #dispensed</t>
  </si>
  <si>
    <t>--  #3 Cost (number only 0.00)</t>
  </si>
  <si>
    <t>#4 Rx GUEST NAME (first &amp;amp; last)</t>
  </si>
  <si>
    <t>--  #4 Med., dose, #dispensed</t>
  </si>
  <si>
    <t>--  #4 Cost  (number only 0.00)</t>
  </si>
  <si>
    <t>#5 Rx GUEST NAME (first &amp;amp; last)</t>
  </si>
  <si>
    <t>--   #5 Med.,  dose, #dispensed</t>
  </si>
  <si>
    <t>--   #5  Cost (number only 0.00)</t>
  </si>
  <si>
    <t>#6 Rx GUEST NAME (first &amp;amp; last)</t>
  </si>
  <si>
    <t xml:space="preserve">-- #6 Med., dose, #dispensed </t>
  </si>
  <si>
    <t>--  #6  Cost (number only 0.00)</t>
  </si>
  <si>
    <t>--- TOTAL Rx COSTS (number only 0.00)</t>
  </si>
  <si>
    <t>Most recent date:</t>
  </si>
  <si>
    <t>RX expenses in-city, incl. multiple visits &amp; delivery/non-delivery services</t>
  </si>
  <si>
    <t>Expenditure for Rx - Program Total (Gburg residents + non-residents - sum of Total RX)</t>
  </si>
  <si>
    <t>Expenditure for Rx - Gburg Residents Only (sum of Total RX)</t>
  </si>
  <si>
    <t>Discarded Guest IDs: (address may be in needs autocorrect, address record may not have been added, rx record may have no rx data)</t>
  </si>
  <si>
    <t>None</t>
  </si>
  <si>
    <t>Services included in totals:</t>
  </si>
  <si>
    <t>Unduplicated households in Gburg (# of unique Guest IDs, excluded if they came in previous quarters)</t>
  </si>
  <si>
    <t>Unduplicated individuals in Gburg (# in all households of unique Guest IDs, excluded if they came in previous quarters)</t>
  </si>
  <si>
    <t>Duplicated households in Gburg (# of Guest IDs, incl.multiple visits and services)</t>
  </si>
  <si>
    <t>Duplicated individuals in Gburg (# in all households, incl. multiple visits &amp; services)</t>
  </si>
  <si>
    <t>Duplicated individuals in Gburg / Duplicated individuals</t>
  </si>
  <si>
    <t>Estimated percentage of expenses which are in-city</t>
  </si>
  <si>
    <t>County (City + Non-City) Totals by Month</t>
  </si>
  <si>
    <t>Additional unduplicated individuals in Gburg who received a different delivery type (# of unduplicated individuals receiving delivery who also received nondelivery or vice versa earlier)</t>
  </si>
  <si>
    <t>version 3.15d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</si>
</sst>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0"/>
      <color indexed="8"/>
      <name val="Arial"/>
      <family val="2"/>
    </font>
    <font>
      <sz val="11"/>
      <color rgb="FF000000"/>
      <name val="Calibri"/>
      <family val="2"/>
    </font>
    <font>
      <b/>
      <sz val="13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2"/>
      <color theme="4" tint="-0.499984740745262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8" tint="0.79998168889431442"/>
        <bgColor indexed="64"/>
      </patternFill>
    </fill>
  </fills>
  <borders count="7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  <border>
      <left style="double">
        <color auto="1"/>
      </left>
      <right/>
      <top/>
      <bottom/>
      <diagonal/>
    </border>
    <border>
      <left/>
      <right/>
      <top style="double">
        <color auto="1"/>
      </top>
      <bottom/>
      <diagonal/>
    </border>
    <border>
      <left style="double">
        <color auto="1"/>
      </left>
      <right/>
      <top style="double">
        <color auto="1"/>
      </top>
      <bottom/>
      <diagonal/>
    </border>
  </borders>
  <cellStyleXfs count="7">
    <xf numFmtId="0" fontId="0" fillId="0" borderId="0"/>
    <xf numFmtId="0" fontId="4" fillId="0" borderId="3" applyNumberFormat="0" applyFill="0" applyAlignment="0" applyProtection="0"/>
    <xf numFmtId="0" fontId="6" fillId="0" borderId="4" applyFont="0"/>
    <xf numFmtId="164" fontId="1" fillId="0" borderId="5" applyFont="0"/>
    <xf numFmtId="164" fontId="5" fillId="0" borderId="6"/>
    <xf numFmtId="0" fontId="4" fillId="0" borderId="3" applyNumberFormat="0" applyFill="0" applyAlignment="0" applyProtection="0"/>
    <xf numFmtId="0" fontId="9" fillId="0" borderId="0" applyNumberFormat="0" applyFill="0" applyBorder="0" applyAlignment="0" applyProtection="0"/>
  </cellStyleXfs>
  <cellXfs count="24">
    <xf numFmtId="0" fontId="0" fillId="0" borderId="0" xfId="0"/>
    <xf numFmtId="0" fontId="1" fillId="0" borderId="0" xfId="0" applyFont="1"/>
    <xf numFmtId="0" fontId="2" fillId="2" borderId="2" xfId="0" applyFont="1" applyFill="1" applyBorder="1" applyAlignment="1" applyProtection="1">
      <alignment wrapText="1"/>
      <protection locked="0"/>
    </xf>
    <xf numFmtId="14" fontId="0" fillId="0" borderId="0" xfId="0" applyNumberFormat="1"/>
    <xf numFmtId="0" fontId="0" fillId="0" borderId="0" xfId="0" applyAlignment="1">
      <alignment wrapText="1"/>
    </xf>
    <xf numFmtId="164" fontId="0" fillId="0" borderId="0" xfId="0" applyNumberFormat="1"/>
    <xf numFmtId="164" fontId="2" fillId="2" borderId="1" xfId="0" applyNumberFormat="1" applyFont="1" applyFill="1" applyBorder="1" applyAlignment="1" applyProtection="1">
      <alignment wrapText="1"/>
      <protection locked="0"/>
    </xf>
    <xf numFmtId="0" fontId="6" fillId="0" borderId="4" xfId="2" applyFont="1"/>
    <xf numFmtId="0" fontId="0" fillId="0" borderId="4" xfId="2" applyFont="1"/>
    <xf numFmtId="0" fontId="1" fillId="0" borderId="0" xfId="0" applyFont="1" applyAlignment="1">
      <alignment horizontal="right"/>
    </xf>
    <xf numFmtId="164" fontId="0" fillId="0" borderId="5" xfId="3" applyFont="1"/>
    <xf numFmtId="0" fontId="1" fillId="0" borderId="4" xfId="2" applyFont="1"/>
    <xf numFmtId="0" fontId="0" fillId="0" borderId="5" xfId="3" applyNumberFormat="1" applyFont="1"/>
    <xf numFmtId="0" fontId="7" fillId="3" borderId="0" xfId="5" applyFont="1" applyFill="1" applyBorder="1" applyAlignment="1">
      <alignment horizontal="center" vertical="center"/>
    </xf>
    <xf numFmtId="164" fontId="6" fillId="0" borderId="6" xfId="4" applyFont="1"/>
    <xf numFmtId="0" fontId="8" fillId="0" borderId="4" xfId="2" applyFont="1"/>
    <xf numFmtId="0" fontId="9" fillId="0" borderId="0" xfId="6"/>
    <xf numFmtId="49" fontId="9" fillId="0" borderId="0" xfId="0" applyNumberFormat="1" applyFont="1"/>
    <xf numFmtId="164" fontId="8" fillId="0" borderId="0" xfId="0" applyNumberFormat="1" applyFont="1"/>
    <xf numFmtId="164" fontId="5" fillId="0" borderId="6" xfId="4"/>
    <xf numFmtId="0" fontId="0" fillId="0" borderId="0" xfId="0" applyAlignment="1">
      <alignment horizontal="right"/>
    </xf>
    <xf numFmtId="164" fontId="1" fillId="0" borderId="6" xfId="4" applyFont="1"/>
    <xf numFmtId="164" fontId="1" fillId="0" borderId="5" xfId="3" applyFont="1"/>
    <xf numFmtId="0" fontId="7" fillId="3" borderId="0" xfId="5" applyFont="1" applyFill="1" applyBorder="1" applyAlignment="1">
      <alignment horizontal="center" vertical="center"/>
    </xf>
  </cellXfs>
  <cellStyles count="7">
    <cellStyle name="Heading 2" xfId="5" builtinId="17"/>
    <cellStyle name="Heading 2 2" xfId="1" xr:uid="{7D6FD562-ED5D-4353-9D19-4A4E99930F7F}"/>
    <cellStyle name="Left border" xfId="2" xr:uid="{741DE080-D344-4AE6-8F55-106C00565CEE}"/>
    <cellStyle name="Normal" xfId="0" builtinId="0"/>
    <cellStyle name="Top &amp; Left Border" xfId="4" xr:uid="{7FB3E784-6FC4-41DC-9FB9-97902604D3C9}"/>
    <cellStyle name="Top border" xfId="3" xr:uid="{B5EB851F-60EE-4BDA-80BD-1F29E9703266}"/>
    <cellStyle name="Warning Text" xfId="6" builtinId="11"/>
  </cellStyles>
  <dxfs count="2">
    <dxf>
      <font>
        <color rgb="FFFF000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1285875</xdr:colOff>
          <xdr:row>1</xdr:row>
          <xdr:rowOff>28575</xdr:rowOff>
        </xdr:from>
        <xdr:to>
          <xdr:col>2</xdr:col>
          <xdr:colOff>390525</xdr:colOff>
          <xdr:row>3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409575</xdr:colOff>
          <xdr:row>1</xdr:row>
          <xdr:rowOff>38100</xdr:rowOff>
        </xdr:from>
        <xdr:to>
          <xdr:col>5</xdr:col>
          <xdr:colOff>504825</xdr:colOff>
          <xdr:row>3</xdr:row>
          <xdr:rowOff>19050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Non-Rx Final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</xdr:colOff>
          <xdr:row>1</xdr:row>
          <xdr:rowOff>28575</xdr:rowOff>
        </xdr:from>
        <xdr:to>
          <xdr:col>0</xdr:col>
          <xdr:colOff>1266825</xdr:colOff>
          <xdr:row>3</xdr:row>
          <xdr:rowOff>19050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Paste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171450</xdr:rowOff>
        </xdr:from>
        <xdr:to>
          <xdr:col>4</xdr:col>
          <xdr:colOff>57150</xdr:colOff>
          <xdr:row>5</xdr:row>
          <xdr:rowOff>123825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Copy Selected Zip Totals Code and Open County Totals 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180975</xdr:colOff>
          <xdr:row>3</xdr:row>
          <xdr:rowOff>152400</xdr:rowOff>
        </xdr:from>
        <xdr:to>
          <xdr:col>5</xdr:col>
          <xdr:colOff>714375</xdr:colOff>
          <xdr:row>5</xdr:row>
          <xdr:rowOff>171450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Records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542925</xdr:colOff>
          <xdr:row>0</xdr:row>
          <xdr:rowOff>0</xdr:rowOff>
        </xdr:from>
        <xdr:to>
          <xdr:col>10</xdr:col>
          <xdr:colOff>333375</xdr:colOff>
          <xdr:row>0</xdr:row>
          <xdr:rowOff>209550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95250</xdr:colOff>
          <xdr:row>0</xdr:row>
          <xdr:rowOff>9525</xdr:rowOff>
        </xdr:from>
        <xdr:to>
          <xdr:col>4</xdr:col>
          <xdr:colOff>771525</xdr:colOff>
          <xdr:row>0</xdr:row>
          <xdr:rowOff>200025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Attempt Validation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371475</xdr:colOff>
          <xdr:row>0</xdr:row>
          <xdr:rowOff>9525</xdr:rowOff>
        </xdr:from>
        <xdr:to>
          <xdr:col>14</xdr:col>
          <xdr:colOff>57150</xdr:colOff>
          <xdr:row>0</xdr:row>
          <xdr:rowOff>200025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Open Address Validation Website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104775</xdr:colOff>
          <xdr:row>0</xdr:row>
          <xdr:rowOff>19050</xdr:rowOff>
        </xdr:from>
        <xdr:to>
          <xdr:col>16</xdr:col>
          <xdr:colOff>342900</xdr:colOff>
          <xdr:row>0</xdr:row>
          <xdr:rowOff>200025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Open USPS Website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419100</xdr:colOff>
          <xdr:row>0</xdr:row>
          <xdr:rowOff>0</xdr:rowOff>
        </xdr:from>
        <xdr:to>
          <xdr:col>18</xdr:col>
          <xdr:colOff>495300</xdr:colOff>
          <xdr:row>0</xdr:row>
          <xdr:rowOff>219075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2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Open Google Maps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123825</xdr:colOff>
          <xdr:row>0</xdr:row>
          <xdr:rowOff>238125</xdr:rowOff>
        </xdr:from>
        <xdr:to>
          <xdr:col>6</xdr:col>
          <xdr:colOff>390525</xdr:colOff>
          <xdr:row>0</xdr:row>
          <xdr:rowOff>409575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2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31750</xdr:colOff>
      <xdr:row>0</xdr:row>
      <xdr:rowOff>12700</xdr:rowOff>
    </xdr:from>
    <xdr:to>
      <xdr:col>3</xdr:col>
      <xdr:colOff>120650</xdr:colOff>
      <xdr:row>0</xdr:row>
      <xdr:rowOff>222250</xdr:rowOff>
    </xdr:to>
    <xdr:sp macro="" textlink="">
      <xdr:nvSpPr>
        <xdr:cNvPr id="2" name="API Limit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31750" y="12700"/>
          <a:ext cx="1917700" cy="2095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en-US" sz="1100" b="0" i="1"/>
            <a:t>5000 / 5000 left until January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47625</xdr:colOff>
          <xdr:row>0</xdr:row>
          <xdr:rowOff>0</xdr:rowOff>
        </xdr:from>
        <xdr:to>
          <xdr:col>6</xdr:col>
          <xdr:colOff>485775</xdr:colOff>
          <xdr:row>0</xdr:row>
          <xdr:rowOff>200025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2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Discard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0</xdr:colOff>
          <xdr:row>0</xdr:row>
          <xdr:rowOff>228600</xdr:rowOff>
        </xdr:from>
        <xdr:to>
          <xdr:col>4</xdr:col>
          <xdr:colOff>828675</xdr:colOff>
          <xdr:row>0</xdr:row>
          <xdr:rowOff>428625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2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123825</xdr:colOff>
          <xdr:row>0</xdr:row>
          <xdr:rowOff>219075</xdr:rowOff>
        </xdr:from>
        <xdr:to>
          <xdr:col>13</xdr:col>
          <xdr:colOff>123825</xdr:colOff>
          <xdr:row>0</xdr:row>
          <xdr:rowOff>409575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2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Open List of Gaithersburg Streets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</xdr:colOff>
          <xdr:row>0</xdr:row>
          <xdr:rowOff>28575</xdr:rowOff>
        </xdr:from>
        <xdr:to>
          <xdr:col>2</xdr:col>
          <xdr:colOff>390525</xdr:colOff>
          <xdr:row>4</xdr:row>
          <xdr:rowOff>9525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4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Paste Additional Rx Records and Generate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0</xdr:colOff>
          <xdr:row>0</xdr:row>
          <xdr:rowOff>76200</xdr:rowOff>
        </xdr:from>
        <xdr:to>
          <xdr:col>17</xdr:col>
          <xdr:colOff>600075</xdr:colOff>
          <xdr:row>2</xdr:row>
          <xdr:rowOff>76200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4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Delete All Rx Records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381000</xdr:colOff>
          <xdr:row>0</xdr:row>
          <xdr:rowOff>9525</xdr:rowOff>
        </xdr:from>
        <xdr:to>
          <xdr:col>15</xdr:col>
          <xdr:colOff>342900</xdr:colOff>
          <xdr:row>0</xdr:row>
          <xdr:rowOff>247650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Delete All Visit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85725</xdr:colOff>
          <xdr:row>0</xdr:row>
          <xdr:rowOff>9525</xdr:rowOff>
        </xdr:from>
        <xdr:to>
          <xdr:col>4</xdr:col>
          <xdr:colOff>0</xdr:colOff>
          <xdr:row>0</xdr:row>
          <xdr:rowOff>190500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5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Move to Needs Autocorrect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180975</xdr:colOff>
          <xdr:row>0</xdr:row>
          <xdr:rowOff>0</xdr:rowOff>
        </xdr:from>
        <xdr:to>
          <xdr:col>6</xdr:col>
          <xdr:colOff>609600</xdr:colOff>
          <xdr:row>0</xdr:row>
          <xdr:rowOff>209550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5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85725</xdr:colOff>
          <xdr:row>0</xdr:row>
          <xdr:rowOff>19050</xdr:rowOff>
        </xdr:from>
        <xdr:to>
          <xdr:col>2</xdr:col>
          <xdr:colOff>495300</xdr:colOff>
          <xdr:row>0</xdr:row>
          <xdr:rowOff>180975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Restore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161925</xdr:colOff>
          <xdr:row>0</xdr:row>
          <xdr:rowOff>0</xdr:rowOff>
        </xdr:from>
        <xdr:to>
          <xdr:col>5</xdr:col>
          <xdr:colOff>571500</xdr:colOff>
          <xdr:row>0</xdr:row>
          <xdr:rowOff>209550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0</xdr:row>
          <xdr:rowOff>47625</xdr:rowOff>
        </xdr:from>
        <xdr:to>
          <xdr:col>2</xdr:col>
          <xdr:colOff>771525</xdr:colOff>
          <xdr:row>0</xdr:row>
          <xdr:rowOff>219075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7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971550</xdr:colOff>
          <xdr:row>0</xdr:row>
          <xdr:rowOff>19050</xdr:rowOff>
        </xdr:from>
        <xdr:to>
          <xdr:col>4</xdr:col>
          <xdr:colOff>666750</xdr:colOff>
          <xdr:row>0</xdr:row>
          <xdr:rowOff>228600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7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9.xml"/><Relationship Id="rId12" Type="http://schemas.openxmlformats.org/officeDocument/2006/relationships/ctrlProp" Target="../ctrlProps/ctrlProp1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11" Type="http://schemas.openxmlformats.org/officeDocument/2006/relationships/ctrlProp" Target="../ctrlProps/ctrlProp13.xml"/><Relationship Id="rId5" Type="http://schemas.openxmlformats.org/officeDocument/2006/relationships/ctrlProp" Target="../ctrlProps/ctrlProp7.xml"/><Relationship Id="rId10" Type="http://schemas.openxmlformats.org/officeDocument/2006/relationships/ctrlProp" Target="../ctrlProps/ctrlProp12.xml"/><Relationship Id="rId4" Type="http://schemas.openxmlformats.org/officeDocument/2006/relationships/ctrlProp" Target="../ctrlProps/ctrlProp6.xml"/><Relationship Id="rId9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1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0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2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9D9D1-985B-4306-A8FA-40D8A4D961B4}">
  <sheetPr codeName="InterfaceSheet"/>
  <dimension ref="A1:CS22"/>
  <sheetViews>
    <sheetView tabSelected="1" workbookViewId="0">
      <selection activeCell="E11" sqref="E11"/>
    </sheetView>
  </sheetViews>
  <sheetFormatPr defaultRowHeight="15" x14ac:dyDescent="0.25"/>
  <cols>
    <col min="1" max="1" width="21.85546875" style="5" customWidth="1"/>
    <col min="4" max="4" width="10.42578125" bestFit="1" customWidth="1"/>
    <col min="6" max="6" width="11.5703125" customWidth="1"/>
    <col min="9" max="9" width="10.5703125" bestFit="1" customWidth="1"/>
    <col min="10" max="11" width="10.42578125" bestFit="1" customWidth="1"/>
    <col min="12" max="12" width="10.5703125" bestFit="1" customWidth="1"/>
    <col min="13" max="13" width="10.42578125" bestFit="1" customWidth="1"/>
    <col min="14" max="14" width="6.42578125" customWidth="1"/>
    <col min="15" max="15" width="6.140625" customWidth="1"/>
    <col min="16" max="16" width="5.5703125" customWidth="1"/>
    <col min="17" max="18" width="5.85546875" customWidth="1"/>
    <col min="19" max="19" width="10.42578125" bestFit="1" customWidth="1"/>
    <col min="21" max="21" width="10.42578125" bestFit="1" customWidth="1"/>
    <col min="23" max="23" width="10.42578125" bestFit="1" customWidth="1"/>
    <col min="24" max="26" width="10.5703125" bestFit="1" customWidth="1"/>
    <col min="27" max="27" width="10.42578125" bestFit="1" customWidth="1"/>
    <col min="29" max="29" width="10.42578125" bestFit="1" customWidth="1"/>
    <col min="33" max="33" width="10.42578125" bestFit="1" customWidth="1"/>
    <col min="37" max="37" width="10.42578125" bestFit="1" customWidth="1"/>
    <col min="42" max="44" width="10.42578125" bestFit="1" customWidth="1"/>
    <col min="46" max="47" width="10.42578125" bestFit="1" customWidth="1"/>
    <col min="49" max="53" width="10.42578125" bestFit="1" customWidth="1"/>
    <col min="59" max="61" width="10.42578125" bestFit="1" customWidth="1"/>
    <col min="65" max="69" width="10.42578125" bestFit="1" customWidth="1"/>
    <col min="71" max="71" width="10.42578125" bestFit="1" customWidth="1"/>
    <col min="75" max="76" width="10.42578125" bestFit="1" customWidth="1"/>
    <col min="79" max="79" width="10.42578125" bestFit="1" customWidth="1"/>
    <col min="81" max="81" width="10.42578125" bestFit="1" customWidth="1"/>
    <col min="85" max="88" width="10.42578125" bestFit="1" customWidth="1"/>
    <col min="94" max="95" width="10.42578125" bestFit="1" customWidth="1"/>
  </cols>
  <sheetData>
    <row r="1" spans="1:97" x14ac:dyDescent="0.25">
      <c r="A1" s="5" t="s">
        <v>156</v>
      </c>
      <c r="B1" t="s">
        <v>101</v>
      </c>
      <c r="D1" s="3"/>
      <c r="E1" t="s">
        <v>102</v>
      </c>
      <c r="G1" s="11" t="s">
        <v>111</v>
      </c>
      <c r="L1" s="1" t="s">
        <v>0</v>
      </c>
      <c r="M1" s="1" t="s">
        <v>1</v>
      </c>
      <c r="N1" s="1" t="s">
        <v>2</v>
      </c>
      <c r="O1" s="1" t="s">
        <v>3</v>
      </c>
      <c r="P1" s="1" t="s">
        <v>115</v>
      </c>
      <c r="R1" s="7" t="s">
        <v>104</v>
      </c>
      <c r="W1" s="7" t="s">
        <v>103</v>
      </c>
      <c r="AB1" s="11" t="s">
        <v>153</v>
      </c>
      <c r="AD1" s="1"/>
      <c r="AG1" s="8"/>
    </row>
    <row r="2" spans="1:97" x14ac:dyDescent="0.25">
      <c r="G2" s="8" t="s">
        <v>112</v>
      </c>
      <c r="L2">
        <f>SUM(L3:L4) - X7</f>
        <v>0</v>
      </c>
      <c r="M2">
        <f>SUM(M3:M4) - Y7</f>
        <v>0</v>
      </c>
      <c r="N2">
        <f>SUM(N3:N4) - Z7</f>
        <v>0</v>
      </c>
      <c r="O2">
        <f>SUM(O3:O4) - AA7</f>
        <v>0</v>
      </c>
      <c r="P2">
        <f>SUM(L2:O2)</f>
        <v>0</v>
      </c>
      <c r="R2" s="8"/>
      <c r="S2" s="1" t="s">
        <v>0</v>
      </c>
      <c r="T2" s="9" t="s">
        <v>1</v>
      </c>
      <c r="U2" s="9" t="s">
        <v>2</v>
      </c>
      <c r="V2" s="9" t="s">
        <v>3</v>
      </c>
      <c r="W2" s="11"/>
      <c r="X2" s="1" t="s">
        <v>0</v>
      </c>
      <c r="Y2" s="9" t="s">
        <v>1</v>
      </c>
      <c r="Z2" s="9" t="s">
        <v>2</v>
      </c>
      <c r="AA2" s="9" t="s">
        <v>3</v>
      </c>
      <c r="AB2" s="11"/>
      <c r="AC2" s="9" t="s">
        <v>0</v>
      </c>
      <c r="AD2" s="9" t="s">
        <v>1</v>
      </c>
      <c r="AE2" s="9" t="s">
        <v>2</v>
      </c>
      <c r="AF2" s="9" t="s">
        <v>3</v>
      </c>
      <c r="AG2" s="8"/>
    </row>
    <row r="3" spans="1:97" ht="15.75" thickBot="1" x14ac:dyDescent="0.3">
      <c r="G3" s="8" t="s">
        <v>113</v>
      </c>
      <c r="L3">
        <f>X4</f>
        <v>0</v>
      </c>
      <c r="M3">
        <f>Y4</f>
        <v>0</v>
      </c>
      <c r="N3">
        <f>Z4</f>
        <v>0</v>
      </c>
      <c r="O3">
        <f>AA4</f>
        <v>0</v>
      </c>
      <c r="P3">
        <f>SUM(L3:O3)</f>
        <v>0</v>
      </c>
      <c r="R3" s="8" t="s">
        <v>148</v>
      </c>
      <c r="S3">
        <v>0</v>
      </c>
      <c r="T3">
        <v>0</v>
      </c>
      <c r="U3">
        <v>0</v>
      </c>
      <c r="V3">
        <v>0</v>
      </c>
      <c r="W3" s="8" t="s">
        <v>148</v>
      </c>
      <c r="X3">
        <v>0</v>
      </c>
      <c r="Y3">
        <v>0</v>
      </c>
      <c r="Z3">
        <v>0</v>
      </c>
      <c r="AA3">
        <v>0</v>
      </c>
      <c r="AB3" s="8" t="s">
        <v>152</v>
      </c>
      <c r="AC3" s="20" t="e">
        <f>TEXT(SUM(S6,X6)/SUM(D15:D17), "00.00%")</f>
        <v>#DIV/0!</v>
      </c>
      <c r="AD3" s="20" t="e">
        <f>TEXT(SUM(T6,Y6)/SUM(D18:D20), "00.00%")</f>
        <v>#DIV/0!</v>
      </c>
      <c r="AE3" s="20" t="e">
        <f>TEXT(SUM(U6,Z6)/SUM(D9:D11), "00.00%")</f>
        <v>#DIV/0!</v>
      </c>
      <c r="AF3" s="20" t="e">
        <f>TEXT(SUM(V6,AA6)/SUM(D12:D14), "00.00%")</f>
        <v>#DIV/0!</v>
      </c>
      <c r="AG3" s="8"/>
    </row>
    <row r="4" spans="1:97" ht="15.75" thickTop="1" x14ac:dyDescent="0.25">
      <c r="G4" s="8" t="s">
        <v>114</v>
      </c>
      <c r="L4">
        <f>S4</f>
        <v>0</v>
      </c>
      <c r="M4">
        <f>T4</f>
        <v>0</v>
      </c>
      <c r="N4">
        <f>U4</f>
        <v>0</v>
      </c>
      <c r="O4">
        <f>V4</f>
        <v>0</v>
      </c>
      <c r="P4">
        <f>SUM(L4:O4)</f>
        <v>0</v>
      </c>
      <c r="R4" s="8" t="s">
        <v>149</v>
      </c>
      <c r="S4">
        <v>0</v>
      </c>
      <c r="T4">
        <v>0</v>
      </c>
      <c r="U4">
        <v>0</v>
      </c>
      <c r="V4">
        <v>0</v>
      </c>
      <c r="W4" s="8" t="s">
        <v>149</v>
      </c>
      <c r="X4">
        <v>0</v>
      </c>
      <c r="Y4">
        <v>0</v>
      </c>
      <c r="Z4">
        <v>0</v>
      </c>
      <c r="AA4">
        <v>0</v>
      </c>
      <c r="AB4" s="19"/>
      <c r="AC4" s="10"/>
      <c r="AD4" s="10"/>
      <c r="AE4" s="10"/>
      <c r="AF4" s="10"/>
    </row>
    <row r="5" spans="1:97" x14ac:dyDescent="0.25">
      <c r="G5" s="8" t="s">
        <v>119</v>
      </c>
      <c r="L5">
        <f>SUM(H15:H17)</f>
        <v>0</v>
      </c>
      <c r="M5">
        <f>SUM(H18:H20)</f>
        <v>0</v>
      </c>
      <c r="N5">
        <f>SUM(H9:H11)</f>
        <v>0</v>
      </c>
      <c r="O5">
        <f>SUM(H12:H14)</f>
        <v>0</v>
      </c>
      <c r="P5">
        <f>SUM(L5:O5)</f>
        <v>0</v>
      </c>
      <c r="R5" s="8" t="s">
        <v>150</v>
      </c>
      <c r="S5">
        <v>0</v>
      </c>
      <c r="T5">
        <v>0</v>
      </c>
      <c r="U5">
        <v>0</v>
      </c>
      <c r="V5">
        <v>0</v>
      </c>
      <c r="W5" s="8" t="s">
        <v>150</v>
      </c>
      <c r="X5">
        <v>0</v>
      </c>
      <c r="Y5">
        <v>0</v>
      </c>
      <c r="Z5">
        <v>0</v>
      </c>
      <c r="AA5">
        <v>0</v>
      </c>
      <c r="AB5" s="8"/>
    </row>
    <row r="6" spans="1:97" ht="15.75" thickBot="1" x14ac:dyDescent="0.3">
      <c r="G6" s="15" t="str">
        <f>"Services included in nondelivery total - " &amp; R1</f>
        <v>Services included in nondelivery total - Non-delivery</v>
      </c>
      <c r="R6" s="8" t="s">
        <v>151</v>
      </c>
      <c r="S6">
        <v>0</v>
      </c>
      <c r="T6">
        <v>0</v>
      </c>
      <c r="U6">
        <v>0</v>
      </c>
      <c r="V6">
        <v>0</v>
      </c>
      <c r="W6" s="8" t="s">
        <v>151</v>
      </c>
      <c r="X6">
        <v>0</v>
      </c>
      <c r="Y6">
        <v>0</v>
      </c>
      <c r="Z6">
        <v>0</v>
      </c>
      <c r="AA6">
        <v>0</v>
      </c>
      <c r="AB6" s="8"/>
    </row>
    <row r="7" spans="1:97" ht="14.45" customHeight="1" thickTop="1" thickBot="1" x14ac:dyDescent="0.3">
      <c r="B7" s="4"/>
      <c r="G7" s="15" t="str">
        <f>"Services included in delivery total - " &amp; W1</f>
        <v>Services included in delivery total - Delivery</v>
      </c>
      <c r="R7" s="14" t="s">
        <v>142</v>
      </c>
      <c r="S7" s="12">
        <v>0</v>
      </c>
      <c r="T7" s="12">
        <v>0</v>
      </c>
      <c r="U7" s="12">
        <v>0</v>
      </c>
      <c r="V7" s="12">
        <v>0</v>
      </c>
      <c r="W7" s="21" t="s">
        <v>155</v>
      </c>
      <c r="X7" s="12">
        <v>0</v>
      </c>
      <c r="Y7" s="12">
        <v>0</v>
      </c>
      <c r="Z7" s="12">
        <v>0</v>
      </c>
      <c r="AA7" s="12">
        <v>0</v>
      </c>
      <c r="AB7" s="8"/>
    </row>
    <row r="8" spans="1:97" s="12" customFormat="1" ht="15.75" thickTop="1" x14ac:dyDescent="0.25">
      <c r="A8" s="22" t="s">
        <v>154</v>
      </c>
      <c r="B8" s="12" t="s">
        <v>35</v>
      </c>
      <c r="C8" s="12" t="s">
        <v>36</v>
      </c>
      <c r="D8" s="12" t="s">
        <v>38</v>
      </c>
      <c r="E8" s="12" t="s">
        <v>37</v>
      </c>
      <c r="F8" s="12" t="s">
        <v>39</v>
      </c>
      <c r="G8" s="12" t="s">
        <v>40</v>
      </c>
      <c r="H8" s="12" t="s">
        <v>41</v>
      </c>
      <c r="I8" s="12">
        <v>20861</v>
      </c>
      <c r="J8" s="12" t="s">
        <v>54</v>
      </c>
      <c r="K8" s="12" t="s">
        <v>55</v>
      </c>
      <c r="L8" s="12">
        <v>20839</v>
      </c>
      <c r="M8" s="12">
        <v>20838</v>
      </c>
      <c r="N8" s="12">
        <v>20813</v>
      </c>
      <c r="O8" s="12">
        <v>20814</v>
      </c>
      <c r="P8" s="12" t="s">
        <v>56</v>
      </c>
      <c r="Q8" s="12">
        <v>20816</v>
      </c>
      <c r="R8" s="12">
        <v>20817</v>
      </c>
      <c r="S8" s="12">
        <v>20824</v>
      </c>
      <c r="T8" s="12" t="s">
        <v>57</v>
      </c>
      <c r="U8" s="12">
        <v>20827</v>
      </c>
      <c r="V8" s="12" t="s">
        <v>58</v>
      </c>
      <c r="W8" s="12">
        <v>20841</v>
      </c>
      <c r="X8" s="12">
        <v>20862</v>
      </c>
      <c r="Y8" s="12">
        <v>20866</v>
      </c>
      <c r="Z8" s="12">
        <v>20818</v>
      </c>
      <c r="AA8" s="12" t="s">
        <v>59</v>
      </c>
      <c r="AB8" s="12" t="s">
        <v>60</v>
      </c>
      <c r="AC8" s="12">
        <v>20871</v>
      </c>
      <c r="AD8" s="12" t="s">
        <v>61</v>
      </c>
      <c r="AE8" s="12" t="s">
        <v>62</v>
      </c>
      <c r="AF8" s="12" t="s">
        <v>63</v>
      </c>
      <c r="AG8" s="12">
        <v>20872</v>
      </c>
      <c r="AH8" s="12" t="s">
        <v>64</v>
      </c>
      <c r="AI8" s="12" t="s">
        <v>65</v>
      </c>
      <c r="AJ8" s="12" t="s">
        <v>66</v>
      </c>
      <c r="AK8" s="12">
        <v>20842</v>
      </c>
      <c r="AL8" s="12" t="s">
        <v>67</v>
      </c>
      <c r="AM8" s="12" t="s">
        <v>68</v>
      </c>
      <c r="AN8" s="12" t="s">
        <v>69</v>
      </c>
      <c r="AO8" s="12" t="s">
        <v>70</v>
      </c>
      <c r="AP8" s="12">
        <v>20883</v>
      </c>
      <c r="AQ8" s="12">
        <v>20884</v>
      </c>
      <c r="AR8" s="12">
        <v>20885</v>
      </c>
      <c r="AS8" s="12" t="s">
        <v>71</v>
      </c>
      <c r="AT8" s="12">
        <v>20898</v>
      </c>
      <c r="AU8" s="12">
        <v>20896</v>
      </c>
      <c r="AV8" s="12" t="s">
        <v>72</v>
      </c>
      <c r="AW8" s="12">
        <v>20875</v>
      </c>
      <c r="AX8" s="12">
        <v>20876</v>
      </c>
      <c r="AY8" s="12">
        <v>20812</v>
      </c>
      <c r="AZ8" s="12">
        <v>20891</v>
      </c>
      <c r="BA8" s="12">
        <v>20895</v>
      </c>
      <c r="BB8" s="12" t="s">
        <v>73</v>
      </c>
      <c r="BC8" s="12" t="s">
        <v>74</v>
      </c>
      <c r="BD8" s="12" t="s">
        <v>75</v>
      </c>
      <c r="BE8" s="12" t="s">
        <v>76</v>
      </c>
      <c r="BF8" s="12" t="s">
        <v>77</v>
      </c>
      <c r="BG8" s="12">
        <v>20830</v>
      </c>
      <c r="BH8" s="12">
        <v>20832</v>
      </c>
      <c r="BI8" s="12">
        <v>20837</v>
      </c>
      <c r="BJ8" s="12" t="s">
        <v>78</v>
      </c>
      <c r="BK8" s="12" t="s">
        <v>79</v>
      </c>
      <c r="BL8" s="12" t="s">
        <v>80</v>
      </c>
      <c r="BM8" s="12">
        <v>20847</v>
      </c>
      <c r="BN8" s="12">
        <v>20848</v>
      </c>
      <c r="BO8" s="12">
        <v>20849</v>
      </c>
      <c r="BP8" s="12">
        <v>20850</v>
      </c>
      <c r="BQ8" s="12">
        <v>20851</v>
      </c>
      <c r="BR8" s="12" t="s">
        <v>81</v>
      </c>
      <c r="BS8" s="12">
        <v>20853</v>
      </c>
      <c r="BT8" s="12" t="s">
        <v>82</v>
      </c>
      <c r="BU8" s="12" t="s">
        <v>83</v>
      </c>
      <c r="BV8" s="12" t="s">
        <v>84</v>
      </c>
      <c r="BW8" s="12">
        <v>20860</v>
      </c>
      <c r="BX8" s="12">
        <v>20868</v>
      </c>
      <c r="BY8" s="12" t="s">
        <v>85</v>
      </c>
      <c r="BZ8" s="12" t="s">
        <v>86</v>
      </c>
      <c r="CA8" s="12">
        <v>20901</v>
      </c>
      <c r="CB8" s="12" t="s">
        <v>87</v>
      </c>
      <c r="CC8" s="12">
        <v>20903</v>
      </c>
      <c r="CD8" s="12" t="s">
        <v>88</v>
      </c>
      <c r="CE8" s="12" t="s">
        <v>89</v>
      </c>
      <c r="CF8" s="12" t="s">
        <v>90</v>
      </c>
      <c r="CG8" s="12">
        <v>20907</v>
      </c>
      <c r="CH8" s="12">
        <v>20908</v>
      </c>
      <c r="CI8" s="12">
        <v>20910</v>
      </c>
      <c r="CJ8" s="12">
        <v>20911</v>
      </c>
      <c r="CK8" s="12" t="s">
        <v>91</v>
      </c>
      <c r="CL8" s="12" t="s">
        <v>92</v>
      </c>
      <c r="CM8" s="12" t="s">
        <v>93</v>
      </c>
      <c r="CN8" s="12" t="s">
        <v>94</v>
      </c>
      <c r="CO8" s="12" t="s">
        <v>95</v>
      </c>
      <c r="CP8" s="12">
        <v>20918</v>
      </c>
      <c r="CQ8" s="12">
        <v>20880</v>
      </c>
      <c r="CR8" s="12" t="s">
        <v>96</v>
      </c>
      <c r="CS8" s="12" t="s">
        <v>97</v>
      </c>
    </row>
    <row r="9" spans="1:97" x14ac:dyDescent="0.25">
      <c r="A9" s="5" t="s">
        <v>42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</row>
    <row r="10" spans="1:97" x14ac:dyDescent="0.25">
      <c r="A10" s="5" t="s">
        <v>43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</row>
    <row r="11" spans="1:97" x14ac:dyDescent="0.25">
      <c r="A11" s="5" t="s">
        <v>44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0</v>
      </c>
    </row>
    <row r="12" spans="1:97" x14ac:dyDescent="0.25">
      <c r="A12" s="5" t="s">
        <v>45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>
        <v>0</v>
      </c>
    </row>
    <row r="13" spans="1:97" x14ac:dyDescent="0.25">
      <c r="A13" s="5" t="s">
        <v>46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0</v>
      </c>
    </row>
    <row r="14" spans="1:97" x14ac:dyDescent="0.25">
      <c r="A14" s="5" t="s">
        <v>47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0</v>
      </c>
    </row>
    <row r="15" spans="1:97" x14ac:dyDescent="0.25">
      <c r="A15" s="5" t="s">
        <v>48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0</v>
      </c>
    </row>
    <row r="16" spans="1:97" x14ac:dyDescent="0.25">
      <c r="A16" s="5" t="s">
        <v>49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0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</row>
    <row r="17" spans="1:97" x14ac:dyDescent="0.25">
      <c r="A17" s="5" t="s">
        <v>50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</row>
    <row r="18" spans="1:97" x14ac:dyDescent="0.25">
      <c r="A18" s="5" t="s">
        <v>51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0</v>
      </c>
    </row>
    <row r="19" spans="1:97" x14ac:dyDescent="0.25">
      <c r="A19" s="5" t="s">
        <v>52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0</v>
      </c>
      <c r="CS19">
        <v>0</v>
      </c>
    </row>
    <row r="20" spans="1:97" x14ac:dyDescent="0.25">
      <c r="A20" s="5" t="s">
        <v>53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0</v>
      </c>
      <c r="CJ20">
        <v>0</v>
      </c>
      <c r="CK20">
        <v>0</v>
      </c>
      <c r="CL20">
        <v>0</v>
      </c>
      <c r="CM20">
        <v>0</v>
      </c>
      <c r="CN20">
        <v>0</v>
      </c>
      <c r="CO20">
        <v>0</v>
      </c>
      <c r="CP20">
        <v>0</v>
      </c>
      <c r="CQ20">
        <v>0</v>
      </c>
      <c r="CR20">
        <v>0</v>
      </c>
      <c r="CS20">
        <v>0</v>
      </c>
    </row>
    <row r="21" spans="1:97" x14ac:dyDescent="0.25">
      <c r="A21" s="18" t="s">
        <v>147</v>
      </c>
    </row>
    <row r="22" spans="1:97" ht="26.25" x14ac:dyDescent="0.25">
      <c r="A22" s="6" t="s">
        <v>4</v>
      </c>
      <c r="B22" s="2" t="s">
        <v>5</v>
      </c>
      <c r="C22" s="2" t="s">
        <v>6</v>
      </c>
      <c r="D22" s="2" t="s">
        <v>7</v>
      </c>
      <c r="E22" s="2" t="s">
        <v>8</v>
      </c>
      <c r="F22" s="2" t="s">
        <v>9</v>
      </c>
      <c r="G22" s="2" t="s">
        <v>10</v>
      </c>
      <c r="H22" s="2" t="s">
        <v>15</v>
      </c>
      <c r="I22" s="2" t="s">
        <v>11</v>
      </c>
      <c r="J22" s="2" t="s">
        <v>12</v>
      </c>
      <c r="K22" s="2" t="s">
        <v>13</v>
      </c>
      <c r="L22" s="2" t="s">
        <v>98</v>
      </c>
      <c r="M22" s="2" t="s">
        <v>99</v>
      </c>
      <c r="N22" s="2" t="s">
        <v>100</v>
      </c>
      <c r="O22" s="2" t="s">
        <v>14</v>
      </c>
    </row>
  </sheetData>
  <sheetProtection sheet="1" objects="1" scenarios="1" formatColumns="0" formatRows="0" sort="0" autoFilter="0"/>
  <protectedRanges>
    <protectedRange sqref="A23:XFD1048576" name="PasteInterfaceRecords"/>
    <protectedRange sqref="F1" name="apikey"/>
  </protectedRanges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nfirmAddRecords">
                <anchor>
                  <from>
                    <xdr:col>0</xdr:col>
                    <xdr:colOff>1285875</xdr:colOff>
                    <xdr:row>1</xdr:row>
                    <xdr:rowOff>28575</xdr:rowOff>
                  </from>
                  <to>
                    <xdr:col>2</xdr:col>
                    <xdr:colOff>390525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onfirmGenerateNonRxReport">
                <anchor>
                  <from>
                    <xdr:col>2</xdr:col>
                    <xdr:colOff>409575</xdr:colOff>
                    <xdr:row>1</xdr:row>
                    <xdr:rowOff>38100</xdr:rowOff>
                  </from>
                  <to>
                    <xdr:col>5</xdr:col>
                    <xdr:colOff>504825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PasteInterfaceRecords">
                <anchor>
                  <from>
                    <xdr:col>0</xdr:col>
                    <xdr:colOff>9525</xdr:colOff>
                    <xdr:row>1</xdr:row>
                    <xdr:rowOff>28575</xdr:rowOff>
                  </from>
                  <to>
                    <xdr:col>0</xdr:col>
                    <xdr:colOff>1266825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CopyAndOpenCountyTotalsSite">
                <anchor>
                  <from>
                    <xdr:col>0</xdr:col>
                    <xdr:colOff>0</xdr:colOff>
                    <xdr:row>3</xdr:row>
                    <xdr:rowOff>171450</xdr:rowOff>
                  </from>
                  <to>
                    <xdr:col>4</xdr:col>
                    <xdr:colOff>57150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ImportRecords">
                <anchor>
                  <from>
                    <xdr:col>4</xdr:col>
                    <xdr:colOff>180975</xdr:colOff>
                    <xdr:row>3</xdr:row>
                    <xdr:rowOff>152400</xdr:rowOff>
                  </from>
                  <to>
                    <xdr:col>5</xdr:col>
                    <xdr:colOff>714375</xdr:colOff>
                    <xdr:row>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E5C0F-B345-4EB1-B540-C5334DBE4EED}">
  <sheetPr codeName="NonRxReportSheet"/>
  <dimension ref="A1:AB2"/>
  <sheetViews>
    <sheetView workbookViewId="0">
      <selection activeCell="Z4" sqref="Z4"/>
    </sheetView>
  </sheetViews>
  <sheetFormatPr defaultRowHeight="15" x14ac:dyDescent="0.25"/>
  <cols>
    <col min="1" max="1" width="13.42578125" customWidth="1"/>
    <col min="2" max="2" width="14.7109375" customWidth="1"/>
    <col min="3" max="4" width="15" customWidth="1"/>
    <col min="5" max="5" width="7.42578125" customWidth="1"/>
    <col min="6" max="6" width="10.140625" customWidth="1"/>
    <col min="7" max="7" width="6.28515625" customWidth="1"/>
    <col min="8" max="8" width="7.28515625" customWidth="1"/>
    <col min="9" max="9" width="15.28515625" customWidth="1"/>
    <col min="10" max="10" width="15.140625" customWidth="1"/>
    <col min="11" max="11" width="11.42578125" customWidth="1"/>
    <col min="12" max="12" width="11.7109375" customWidth="1"/>
    <col min="13" max="13" width="6.5703125" customWidth="1"/>
    <col min="14" max="14" width="6.28515625" customWidth="1"/>
    <col min="15" max="15" width="6.7109375" customWidth="1"/>
    <col min="16" max="16" width="7.28515625" customWidth="1"/>
  </cols>
  <sheetData>
    <row r="1" spans="1:28" x14ac:dyDescent="0.25">
      <c r="A1" s="1" t="s">
        <v>109</v>
      </c>
      <c r="B1" s="1"/>
    </row>
    <row r="2" spans="1:28" ht="15.75" x14ac:dyDescent="0.25">
      <c r="A2" s="13" t="s">
        <v>105</v>
      </c>
      <c r="B2" s="13" t="s">
        <v>21</v>
      </c>
      <c r="C2" s="13" t="s">
        <v>22</v>
      </c>
      <c r="D2" s="13" t="s">
        <v>23</v>
      </c>
      <c r="E2" s="13" t="s">
        <v>17</v>
      </c>
      <c r="F2" s="13" t="s">
        <v>24</v>
      </c>
      <c r="G2" s="13" t="s">
        <v>18</v>
      </c>
      <c r="H2" s="13" t="s">
        <v>19</v>
      </c>
      <c r="I2" s="13" t="s">
        <v>25</v>
      </c>
      <c r="J2" s="13" t="s">
        <v>106</v>
      </c>
      <c r="K2" s="13" t="s">
        <v>107</v>
      </c>
      <c r="L2" s="13" t="s">
        <v>108</v>
      </c>
      <c r="M2" s="13" t="s">
        <v>0</v>
      </c>
      <c r="N2" s="13" t="s">
        <v>1</v>
      </c>
      <c r="O2" s="13" t="s">
        <v>2</v>
      </c>
      <c r="P2" s="13" t="s">
        <v>3</v>
      </c>
      <c r="Q2" s="23" t="s">
        <v>42</v>
      </c>
      <c r="R2" s="23" t="s">
        <v>43</v>
      </c>
      <c r="S2" s="23" t="s">
        <v>44</v>
      </c>
      <c r="T2" s="23" t="s">
        <v>45</v>
      </c>
      <c r="U2" s="23" t="s">
        <v>46</v>
      </c>
      <c r="V2" s="23" t="s">
        <v>47</v>
      </c>
      <c r="W2" s="23" t="s">
        <v>48</v>
      </c>
      <c r="X2" s="23" t="s">
        <v>49</v>
      </c>
      <c r="Y2" s="23" t="s">
        <v>50</v>
      </c>
      <c r="Z2" s="23" t="s">
        <v>51</v>
      </c>
      <c r="AA2" s="23" t="s">
        <v>52</v>
      </c>
      <c r="AB2" s="23" t="s">
        <v>53</v>
      </c>
    </row>
  </sheetData>
  <sheetProtection sheet="1" objects="1" scenarios="1" formatColumns="0" formatRows="0" sort="0" autoFilter="0"/>
  <protectedRanges>
    <protectedRange sqref="A3:A1048576" name="Initials"/>
  </protectedRanges>
  <autoFilter ref="A2:P2" xr:uid="{102E5C0F-B345-4EB1-B540-C5334DBE4EED}"/>
  <sortState xmlns:xlrd2="http://schemas.microsoft.com/office/spreadsheetml/2017/richdata2" ref="A3:P3">
    <sortCondition ref="C3:C5"/>
    <sortCondition ref="B3:B5"/>
    <sortCondition ref="D3:D5"/>
    <sortCondition ref="F3:F5"/>
  </sortState>
  <conditionalFormatting sqref="D2">
    <cfRule type="endsWith" dxfId="1" priority="1" operator="endsWith" text="?">
      <formula>RIGHT(D2,1)="?"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F5373-DB1F-4A8C-8FB4-D16E08087609}">
  <sheetPr codeName="AutocorrectAddressesSheet"/>
  <dimension ref="A1:R1"/>
  <sheetViews>
    <sheetView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5" max="5" width="12" customWidth="1"/>
  </cols>
  <sheetData>
    <row r="1" spans="1:18" ht="48.95" customHeight="1" x14ac:dyDescent="0.25">
      <c r="A1" s="1" t="s">
        <v>16</v>
      </c>
      <c r="B1" s="1" t="s">
        <v>33</v>
      </c>
      <c r="C1" s="1" t="s">
        <v>26</v>
      </c>
      <c r="D1" s="1" t="s">
        <v>29</v>
      </c>
      <c r="E1" s="1" t="s">
        <v>27</v>
      </c>
      <c r="F1" s="1" t="s">
        <v>28</v>
      </c>
      <c r="G1" s="1" t="s">
        <v>32</v>
      </c>
      <c r="H1" s="1" t="s">
        <v>30</v>
      </c>
      <c r="I1" s="1" t="s">
        <v>31</v>
      </c>
      <c r="J1" s="1" t="s">
        <v>34</v>
      </c>
      <c r="K1" s="1" t="s">
        <v>6</v>
      </c>
      <c r="L1" s="1" t="s">
        <v>7</v>
      </c>
      <c r="M1" s="1" t="s">
        <v>8</v>
      </c>
      <c r="N1" s="1" t="s">
        <v>20</v>
      </c>
      <c r="O1" s="1" t="s">
        <v>98</v>
      </c>
      <c r="P1" s="1" t="s">
        <v>99</v>
      </c>
      <c r="Q1" s="1" t="s">
        <v>100</v>
      </c>
      <c r="R1" s="1" t="s">
        <v>14</v>
      </c>
    </row>
  </sheetData>
  <sheetProtection sheet="1" objects="1" scenarios="1" formatColumns="0" formatRows="0" sort="0" autoFilter="0"/>
  <protectedRanges>
    <protectedRange sqref="C1:E1048576" name="Range1"/>
  </protectedRanges>
  <autoFilter ref="A1:R1" xr:uid="{AE9F5373-DB1F-4A8C-8FB4-D16E08087609}"/>
  <sortState xmlns:xlrd2="http://schemas.microsoft.com/office/spreadsheetml/2017/richdata2" ref="A2:U6">
    <sortCondition ref="U2"/>
    <sortCondition ref="F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LookupInCity">
                <anchor>
                  <from>
                    <xdr:col>7</xdr:col>
                    <xdr:colOff>542925</xdr:colOff>
                    <xdr:row>0</xdr:row>
                    <xdr:rowOff>0</xdr:rowOff>
                  </from>
                  <to>
                    <xdr:col>10</xdr:col>
                    <xdr:colOff>333375</xdr:colOff>
                    <xdr:row>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confirmAttemptValidation">
                <anchor>
                  <from>
                    <xdr:col>3</xdr:col>
                    <xdr:colOff>95250</xdr:colOff>
                    <xdr:row>0</xdr:row>
                    <xdr:rowOff>9525</xdr:rowOff>
                  </from>
                  <to>
                    <xdr:col>4</xdr:col>
                    <xdr:colOff>771525</xdr:colOff>
                    <xdr:row>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OpenAddressValidationWebsite">
                <anchor>
                  <from>
                    <xdr:col>10</xdr:col>
                    <xdr:colOff>371475</xdr:colOff>
                    <xdr:row>0</xdr:row>
                    <xdr:rowOff>9525</xdr:rowOff>
                  </from>
                  <to>
                    <xdr:col>14</xdr:col>
                    <xdr:colOff>57150</xdr:colOff>
                    <xdr:row>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OpenUSPSZipcodeWebsite">
                <anchor>
                  <from>
                    <xdr:col>14</xdr:col>
                    <xdr:colOff>104775</xdr:colOff>
                    <xdr:row>0</xdr:row>
                    <xdr:rowOff>19050</xdr:rowOff>
                  </from>
                  <to>
                    <xdr:col>16</xdr:col>
                    <xdr:colOff>342900</xdr:colOff>
                    <xdr:row>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Button 6">
              <controlPr defaultSize="0" print="0" autoFill="0" autoPict="0" macro="[0]!confirmDiscardAll">
                <anchor>
                  <from>
                    <xdr:col>5</xdr:col>
                    <xdr:colOff>123825</xdr:colOff>
                    <xdr:row>0</xdr:row>
                    <xdr:rowOff>238125</xdr:rowOff>
                  </from>
                  <to>
                    <xdr:col>6</xdr:col>
                    <xdr:colOff>390525</xdr:colOff>
                    <xdr:row>0</xdr:row>
                    <xdr:rowOff>409575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9" name="Button 7">
              <controlPr defaultSize="0" print="0" autoFill="0" autoPict="0" macro="[0]!confirmDiscardSelected">
                <anchor>
                  <from>
                    <xdr:col>5</xdr:col>
                    <xdr:colOff>47625</xdr:colOff>
                    <xdr:row>0</xdr:row>
                    <xdr:rowOff>0</xdr:rowOff>
                  </from>
                  <to>
                    <xdr:col>6</xdr:col>
                    <xdr:colOff>485775</xdr:colOff>
                    <xdr:row>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0" name="Button 8">
              <controlPr defaultSize="0" print="0" autoFill="0" autoPict="0" macro="[0]!toggleUserVerified">
                <anchor>
                  <from>
                    <xdr:col>3</xdr:col>
                    <xdr:colOff>0</xdr:colOff>
                    <xdr:row>0</xdr:row>
                    <xdr:rowOff>228600</xdr:rowOff>
                  </from>
                  <to>
                    <xdr:col>4</xdr:col>
                    <xdr:colOff>828675</xdr:colOff>
                    <xdr:row>0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1" name="Button 9">
              <controlPr defaultSize="0" print="0" autoFill="0" autoPict="0" macro="[0]!OpenGaithersburgStreets">
                <anchor>
                  <from>
                    <xdr:col>9</xdr:col>
                    <xdr:colOff>123825</xdr:colOff>
                    <xdr:row>0</xdr:row>
                    <xdr:rowOff>219075</xdr:rowOff>
                  </from>
                  <to>
                    <xdr:col>13</xdr:col>
                    <xdr:colOff>123825</xdr:colOff>
                    <xdr:row>0</xdr:row>
                    <xdr:rowOff>409575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12" name="Button 5">
              <controlPr defaultSize="0" print="0" autoFill="0" autoPict="0" macro="[0]!OpenGoogleMapsWebsite">
                <anchor>
                  <from>
                    <xdr:col>16</xdr:col>
                    <xdr:colOff>419100</xdr:colOff>
                    <xdr:row>0</xdr:row>
                    <xdr:rowOff>0</xdr:rowOff>
                  </from>
                  <to>
                    <xdr:col>18</xdr:col>
                    <xdr:colOff>495300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CEB94C-818E-47E8-B1BD-83C1D1726942}">
  <sheetPr codeName="RxReportSheet"/>
  <dimension ref="A1:M2"/>
  <sheetViews>
    <sheetView workbookViewId="0">
      <selection activeCell="A2" sqref="A2"/>
    </sheetView>
  </sheetViews>
  <sheetFormatPr defaultRowHeight="15" x14ac:dyDescent="0.25"/>
  <cols>
    <col min="1" max="1" width="13.42578125" customWidth="1"/>
    <col min="2" max="2" width="14.7109375" customWidth="1"/>
    <col min="3" max="4" width="15" customWidth="1"/>
    <col min="5" max="5" width="7.42578125" customWidth="1"/>
    <col min="6" max="6" width="10.140625" customWidth="1"/>
    <col min="7" max="7" width="6.28515625" customWidth="1"/>
    <col min="8" max="8" width="7.28515625" customWidth="1"/>
    <col min="9" max="9" width="15.28515625" customWidth="1"/>
  </cols>
  <sheetData>
    <row r="1" spans="1:13" x14ac:dyDescent="0.25">
      <c r="A1" s="1" t="s">
        <v>110</v>
      </c>
      <c r="B1" s="1"/>
    </row>
    <row r="2" spans="1:13" ht="15.75" x14ac:dyDescent="0.25">
      <c r="A2" s="13" t="s">
        <v>105</v>
      </c>
      <c r="B2" s="13" t="s">
        <v>21</v>
      </c>
      <c r="C2" s="13" t="s">
        <v>22</v>
      </c>
      <c r="D2" s="13" t="s">
        <v>23</v>
      </c>
      <c r="E2" s="13" t="s">
        <v>17</v>
      </c>
      <c r="F2" s="13" t="s">
        <v>24</v>
      </c>
      <c r="G2" s="13" t="s">
        <v>18</v>
      </c>
      <c r="H2" s="13" t="s">
        <v>19</v>
      </c>
      <c r="I2" s="13" t="s">
        <v>25</v>
      </c>
      <c r="J2" s="13" t="s">
        <v>0</v>
      </c>
      <c r="K2" s="13" t="s">
        <v>1</v>
      </c>
      <c r="L2" s="13" t="s">
        <v>2</v>
      </c>
      <c r="M2" s="13" t="s">
        <v>3</v>
      </c>
    </row>
  </sheetData>
  <sheetProtection sheet="1" objects="1" scenarios="1" formatColumns="0" formatRows="0" sort="0" autoFilter="0"/>
  <protectedRanges>
    <protectedRange sqref="A3:A1048576" name="Initials"/>
  </protectedRanges>
  <autoFilter ref="A2:M2" xr:uid="{A4CEB94C-818E-47E8-B1BD-83C1D1726942}"/>
  <sortState xmlns:xlrd2="http://schemas.microsoft.com/office/spreadsheetml/2017/richdata2" ref="A3:M7">
    <sortCondition ref="C3:C9"/>
    <sortCondition ref="B3:B9"/>
    <sortCondition ref="D3:D9"/>
    <sortCondition ref="F3:F9"/>
  </sortState>
  <conditionalFormatting sqref="D2">
    <cfRule type="endsWith" dxfId="0" priority="1" operator="endsWith" text="?">
      <formula>RIGHT(D2,1)="?"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9FAA57-D756-4AB9-B21D-968BDF1AACC3}">
  <sheetPr codeName="RxSheet"/>
  <dimension ref="A1:U10"/>
  <sheetViews>
    <sheetView workbookViewId="0"/>
  </sheetViews>
  <sheetFormatPr defaultRowHeight="15" x14ac:dyDescent="0.25"/>
  <cols>
    <col min="1" max="1" width="10.7109375" style="5" bestFit="1" customWidth="1"/>
    <col min="8" max="9" width="11.5703125" customWidth="1"/>
    <col min="10" max="10" width="11.42578125" customWidth="1"/>
  </cols>
  <sheetData>
    <row r="1" spans="1:21" x14ac:dyDescent="0.25">
      <c r="G1" s="11" t="s">
        <v>116</v>
      </c>
      <c r="K1" s="1" t="s">
        <v>0</v>
      </c>
      <c r="L1" s="1" t="s">
        <v>1</v>
      </c>
      <c r="M1" s="1" t="s">
        <v>2</v>
      </c>
      <c r="N1" s="1" t="s">
        <v>3</v>
      </c>
      <c r="O1" s="1" t="s">
        <v>118</v>
      </c>
      <c r="P1" s="8"/>
    </row>
    <row r="2" spans="1:21" x14ac:dyDescent="0.25">
      <c r="G2" s="8" t="s">
        <v>117</v>
      </c>
      <c r="K2">
        <v>0</v>
      </c>
      <c r="L2">
        <v>0</v>
      </c>
      <c r="M2">
        <v>0</v>
      </c>
      <c r="N2">
        <v>0</v>
      </c>
      <c r="O2">
        <f>SUM(K2:N2)</f>
        <v>0</v>
      </c>
      <c r="P2" s="8"/>
    </row>
    <row r="3" spans="1:21" x14ac:dyDescent="0.25">
      <c r="G3" s="8" t="s">
        <v>120</v>
      </c>
      <c r="K3">
        <v>0</v>
      </c>
      <c r="L3">
        <v>0</v>
      </c>
      <c r="M3">
        <v>0</v>
      </c>
      <c r="N3">
        <v>0</v>
      </c>
      <c r="O3">
        <f>SUM(K3:N3)</f>
        <v>0</v>
      </c>
      <c r="P3" s="8"/>
    </row>
    <row r="4" spans="1:21" x14ac:dyDescent="0.25">
      <c r="G4" s="8" t="s">
        <v>121</v>
      </c>
      <c r="K4">
        <v>0</v>
      </c>
      <c r="L4">
        <v>0</v>
      </c>
      <c r="M4">
        <v>0</v>
      </c>
      <c r="N4">
        <v>0</v>
      </c>
      <c r="O4">
        <f>SUM(K4:N4)</f>
        <v>0</v>
      </c>
      <c r="P4" s="8"/>
    </row>
    <row r="5" spans="1:21" x14ac:dyDescent="0.25">
      <c r="G5" s="8" t="s">
        <v>143</v>
      </c>
      <c r="K5">
        <v>0</v>
      </c>
      <c r="L5">
        <v>0</v>
      </c>
      <c r="M5">
        <v>0</v>
      </c>
      <c r="N5">
        <v>0</v>
      </c>
      <c r="O5">
        <f t="shared" ref="O5:O6" si="0">SUM(K5:N5)</f>
        <v>0</v>
      </c>
      <c r="P5" s="8"/>
    </row>
    <row r="6" spans="1:21" x14ac:dyDescent="0.25">
      <c r="G6" s="8" t="s">
        <v>144</v>
      </c>
      <c r="K6">
        <v>0</v>
      </c>
      <c r="L6">
        <v>0</v>
      </c>
      <c r="M6">
        <v>0</v>
      </c>
      <c r="N6">
        <v>0</v>
      </c>
      <c r="O6">
        <f t="shared" si="0"/>
        <v>0</v>
      </c>
      <c r="P6" s="8"/>
    </row>
    <row r="7" spans="1:21" x14ac:dyDescent="0.25">
      <c r="G7" s="15" t="s">
        <v>141</v>
      </c>
      <c r="I7" s="5" t="s">
        <v>146</v>
      </c>
      <c r="P7" s="8"/>
    </row>
    <row r="8" spans="1:21" ht="15.75" thickBot="1" x14ac:dyDescent="0.3">
      <c r="G8" s="15" t="s">
        <v>145</v>
      </c>
      <c r="I8" s="16" t="s">
        <v>146</v>
      </c>
      <c r="K8" s="17"/>
      <c r="P8" s="8"/>
    </row>
    <row r="9" spans="1:21" ht="15.75" thickTop="1" x14ac:dyDescent="0.25">
      <c r="G9" s="10"/>
      <c r="H9" s="10"/>
      <c r="I9" s="10"/>
      <c r="J9" s="10"/>
      <c r="K9" s="10"/>
      <c r="L9" s="10"/>
      <c r="M9" s="10"/>
      <c r="N9" s="10"/>
      <c r="O9" s="10"/>
    </row>
    <row r="10" spans="1:21" ht="90" x14ac:dyDescent="0.25">
      <c r="A10" s="6" t="s">
        <v>4</v>
      </c>
      <c r="B10" s="2" t="s">
        <v>6</v>
      </c>
      <c r="C10" s="2" t="s">
        <v>122</v>
      </c>
      <c r="D10" s="2" t="s">
        <v>123</v>
      </c>
      <c r="E10" s="2" t="s">
        <v>124</v>
      </c>
      <c r="F10" s="2" t="s">
        <v>125</v>
      </c>
      <c r="G10" s="2" t="s">
        <v>126</v>
      </c>
      <c r="H10" s="2" t="s">
        <v>127</v>
      </c>
      <c r="I10" s="2" t="s">
        <v>128</v>
      </c>
      <c r="J10" s="2" t="s">
        <v>129</v>
      </c>
      <c r="K10" s="2" t="s">
        <v>130</v>
      </c>
      <c r="L10" s="2" t="s">
        <v>131</v>
      </c>
      <c r="M10" s="2" t="s">
        <v>132</v>
      </c>
      <c r="N10" s="2" t="s">
        <v>133</v>
      </c>
      <c r="O10" s="2" t="s">
        <v>134</v>
      </c>
      <c r="P10" s="2" t="s">
        <v>135</v>
      </c>
      <c r="Q10" s="2" t="s">
        <v>136</v>
      </c>
      <c r="R10" s="2" t="s">
        <v>137</v>
      </c>
      <c r="S10" s="2" t="s">
        <v>138</v>
      </c>
      <c r="T10" s="2" t="s">
        <v>139</v>
      </c>
      <c r="U10" s="2" t="s">
        <v>140</v>
      </c>
    </row>
  </sheetData>
  <sheetProtection sheet="1" objects="1" scenarios="1" formatColumns="0" formatRows="0" sort="0" autoFilter="0"/>
  <protectedRanges>
    <protectedRange sqref="A11:XFD1048576" name="PasteRxRecords"/>
  </protectedRanges>
  <sortState xmlns:xlrd2="http://schemas.microsoft.com/office/spreadsheetml/2017/richdata2" ref="A11:U21">
    <sortCondition ref="A11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confirmPasteRxRecordsCalculate">
                <anchor>
                  <from>
                    <xdr:col>0</xdr:col>
                    <xdr:colOff>9525</xdr:colOff>
                    <xdr:row>0</xdr:row>
                    <xdr:rowOff>28575</xdr:rowOff>
                  </from>
                  <to>
                    <xdr:col>2</xdr:col>
                    <xdr:colOff>390525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confirmDeleteRxRecords">
                <anchor>
                  <from>
                    <xdr:col>15</xdr:col>
                    <xdr:colOff>0</xdr:colOff>
                    <xdr:row>0</xdr:row>
                    <xdr:rowOff>76200</xdr:rowOff>
                  </from>
                  <to>
                    <xdr:col>17</xdr:col>
                    <xdr:colOff>600075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ddressesSheet"/>
  <dimension ref="A1:R1"/>
  <sheetViews>
    <sheetView workbookViewId="0">
      <pane ySplit="1" topLeftCell="A2" activePane="bottomLeft" state="frozen"/>
      <selection pane="bottomLeft" sqref="A1:W14"/>
    </sheetView>
  </sheetViews>
  <sheetFormatPr defaultRowHeight="15" x14ac:dyDescent="0.25"/>
  <cols>
    <col min="3" max="3" width="7.85546875" customWidth="1"/>
    <col min="5" max="5" width="7.85546875" customWidth="1"/>
    <col min="6" max="6" width="9.42578125" customWidth="1"/>
    <col min="7" max="7" width="9.140625" customWidth="1"/>
    <col min="8" max="9" width="7.7109375" customWidth="1"/>
    <col min="13" max="13" width="11.140625" customWidth="1"/>
    <col min="14" max="14" width="12.5703125" customWidth="1"/>
  </cols>
  <sheetData>
    <row r="1" spans="1:18" ht="38.450000000000003" customHeight="1" x14ac:dyDescent="0.25">
      <c r="A1" s="1" t="s">
        <v>16</v>
      </c>
      <c r="B1" s="1" t="s">
        <v>33</v>
      </c>
      <c r="C1" s="1" t="s">
        <v>26</v>
      </c>
      <c r="D1" s="1" t="s">
        <v>29</v>
      </c>
      <c r="E1" s="1" t="s">
        <v>27</v>
      </c>
      <c r="F1" s="1" t="s">
        <v>28</v>
      </c>
      <c r="G1" s="1" t="s">
        <v>32</v>
      </c>
      <c r="H1" s="1" t="s">
        <v>30</v>
      </c>
      <c r="I1" s="1" t="s">
        <v>31</v>
      </c>
      <c r="J1" s="1" t="s">
        <v>34</v>
      </c>
      <c r="K1" s="1" t="s">
        <v>6</v>
      </c>
      <c r="L1" s="1" t="s">
        <v>7</v>
      </c>
      <c r="M1" s="1" t="s">
        <v>8</v>
      </c>
      <c r="N1" s="1" t="s">
        <v>20</v>
      </c>
      <c r="O1" s="1" t="s">
        <v>98</v>
      </c>
      <c r="P1" s="1" t="s">
        <v>99</v>
      </c>
      <c r="Q1" s="1" t="s">
        <v>100</v>
      </c>
      <c r="R1" s="1" t="s">
        <v>14</v>
      </c>
    </row>
  </sheetData>
  <sheetProtection sheet="1" objects="1" scenarios="1" formatColumns="0" formatRows="0" sort="0" autoFilter="0"/>
  <autoFilter ref="A1:R1" xr:uid="{00000000-0001-0000-0000-000000000000}"/>
  <sortState xmlns:xlrd2="http://schemas.microsoft.com/office/spreadsheetml/2017/richdata2" ref="A2:X14">
    <sortCondition ref="X2"/>
    <sortCondition ref="C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confirmDeleteAllVisitData">
                <anchor>
                  <from>
                    <xdr:col>13</xdr:col>
                    <xdr:colOff>381000</xdr:colOff>
                    <xdr:row>0</xdr:row>
                    <xdr:rowOff>9525</xdr:rowOff>
                  </from>
                  <to>
                    <xdr:col>15</xdr:col>
                    <xdr:colOff>342900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6" name="Button 4">
              <controlPr defaultSize="0" print="0" autoFill="0" autoPict="0" macro="[0]!confirmMoveAutocorrect">
                <anchor>
                  <from>
                    <xdr:col>0</xdr:col>
                    <xdr:colOff>85725</xdr:colOff>
                    <xdr:row>0</xdr:row>
                    <xdr:rowOff>9525</xdr:rowOff>
                  </from>
                  <to>
                    <xdr:col>4</xdr:col>
                    <xdr:colOff>0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7" name="Button 5">
              <controlPr defaultSize="0" print="0" autoFill="0" autoPict="0" macro="[0]!LookupInCity">
                <anchor>
                  <from>
                    <xdr:col>4</xdr:col>
                    <xdr:colOff>180975</xdr:colOff>
                    <xdr:row>0</xdr:row>
                    <xdr:rowOff>0</xdr:rowOff>
                  </from>
                  <to>
                    <xdr:col>6</xdr:col>
                    <xdr:colOff>609600</xdr:colOff>
                    <xdr:row>0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FF4B1-399D-454B-B8B2-0F8069705A09}">
  <sheetPr codeName="DiscardsSheet"/>
  <dimension ref="A1:R1"/>
  <sheetViews>
    <sheetView workbookViewId="0">
      <pane ySplit="1" topLeftCell="A2" activePane="bottomLeft" state="frozen"/>
      <selection pane="bottomLeft" sqref="A1:W14"/>
    </sheetView>
  </sheetViews>
  <sheetFormatPr defaultRowHeight="15" x14ac:dyDescent="0.25"/>
  <cols>
    <col min="9" max="10" width="15" customWidth="1"/>
  </cols>
  <sheetData>
    <row r="1" spans="1:18" ht="30.95" customHeight="1" x14ac:dyDescent="0.25">
      <c r="A1" s="1" t="s">
        <v>16</v>
      </c>
      <c r="B1" s="1" t="s">
        <v>33</v>
      </c>
      <c r="C1" s="1" t="s">
        <v>26</v>
      </c>
      <c r="D1" s="1" t="s">
        <v>29</v>
      </c>
      <c r="E1" s="1" t="s">
        <v>27</v>
      </c>
      <c r="F1" s="1" t="s">
        <v>28</v>
      </c>
      <c r="G1" s="1" t="s">
        <v>32</v>
      </c>
      <c r="H1" s="1" t="s">
        <v>30</v>
      </c>
      <c r="I1" s="1" t="s">
        <v>31</v>
      </c>
      <c r="J1" s="1" t="s">
        <v>34</v>
      </c>
      <c r="K1" s="1" t="s">
        <v>6</v>
      </c>
      <c r="L1" s="1" t="s">
        <v>7</v>
      </c>
      <c r="M1" s="1" t="s">
        <v>8</v>
      </c>
      <c r="N1" s="1" t="s">
        <v>20</v>
      </c>
      <c r="O1" s="1" t="s">
        <v>98</v>
      </c>
      <c r="P1" s="1" t="s">
        <v>99</v>
      </c>
      <c r="Q1" s="1" t="s">
        <v>100</v>
      </c>
      <c r="R1" s="1" t="s">
        <v>14</v>
      </c>
    </row>
  </sheetData>
  <sheetProtection sheet="1" objects="1" scenarios="1" formatColumns="0" formatRows="0" sort="0" autoFilter="0"/>
  <autoFilter ref="A1:R1" xr:uid="{A63FF4B1-399D-454B-B8B2-0F8069705A09}"/>
  <sortState xmlns:xlrd2="http://schemas.microsoft.com/office/spreadsheetml/2017/richdata2" ref="A2:X14">
    <sortCondition ref="X2"/>
    <sortCondition ref="F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confirmRestoreSelectedDiscard">
                <anchor>
                  <from>
                    <xdr:col>0</xdr:col>
                    <xdr:colOff>85725</xdr:colOff>
                    <xdr:row>0</xdr:row>
                    <xdr:rowOff>19050</xdr:rowOff>
                  </from>
                  <to>
                    <xdr:col>2</xdr:col>
                    <xdr:colOff>495300</xdr:colOff>
                    <xdr:row>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LookupInCity">
                <anchor>
                  <from>
                    <xdr:col>3</xdr:col>
                    <xdr:colOff>161925</xdr:colOff>
                    <xdr:row>0</xdr:row>
                    <xdr:rowOff>0</xdr:rowOff>
                  </from>
                  <to>
                    <xdr:col>5</xdr:col>
                    <xdr:colOff>571500</xdr:colOff>
                    <xdr:row>0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BE4EB-2044-49EC-AEF2-8E2FF21318E4}">
  <sheetPr codeName="AutocorrectedAddressesSheet"/>
  <dimension ref="A1:R1"/>
  <sheetViews>
    <sheetView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2" width="6.85546875" customWidth="1"/>
    <col min="3" max="3" width="18.140625" customWidth="1"/>
    <col min="4" max="4" width="9.42578125" customWidth="1"/>
    <col min="5" max="5" width="9.7109375" customWidth="1"/>
    <col min="6" max="6" width="12.42578125" customWidth="1"/>
    <col min="8" max="8" width="16.7109375" customWidth="1"/>
    <col min="13" max="13" width="12.5703125" customWidth="1"/>
    <col min="14" max="14" width="11.5703125" customWidth="1"/>
  </cols>
  <sheetData>
    <row r="1" spans="1:18" ht="33.950000000000003" customHeight="1" x14ac:dyDescent="0.25">
      <c r="A1" s="1" t="s">
        <v>16</v>
      </c>
      <c r="B1" s="1" t="s">
        <v>33</v>
      </c>
      <c r="C1" s="1" t="s">
        <v>26</v>
      </c>
      <c r="D1" s="1" t="s">
        <v>29</v>
      </c>
      <c r="E1" s="1" t="s">
        <v>27</v>
      </c>
      <c r="F1" s="1" t="s">
        <v>28</v>
      </c>
      <c r="G1" s="1" t="s">
        <v>32</v>
      </c>
      <c r="H1" s="1" t="s">
        <v>30</v>
      </c>
      <c r="I1" s="1" t="s">
        <v>31</v>
      </c>
      <c r="J1" s="1" t="s">
        <v>34</v>
      </c>
      <c r="K1" s="1" t="s">
        <v>6</v>
      </c>
      <c r="L1" s="1" t="s">
        <v>7</v>
      </c>
      <c r="M1" s="1" t="s">
        <v>8</v>
      </c>
      <c r="N1" s="1" t="s">
        <v>20</v>
      </c>
      <c r="O1" s="1" t="s">
        <v>98</v>
      </c>
      <c r="P1" s="1" t="s">
        <v>99</v>
      </c>
      <c r="Q1" s="1" t="s">
        <v>100</v>
      </c>
      <c r="R1" s="1" t="s">
        <v>14</v>
      </c>
    </row>
  </sheetData>
  <sheetProtection sheet="1" objects="1" scenarios="1" formatColumns="0" formatRows="0" sort="0" autoFilter="0"/>
  <autoFilter ref="A1:R1" xr:uid="{435BE4EB-2044-49EC-AEF2-8E2FF21318E4}"/>
  <sortState xmlns:xlrd2="http://schemas.microsoft.com/office/spreadsheetml/2017/richdata2" ref="A2:U5">
    <sortCondition ref="U2"/>
    <sortCondition ref="C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toggleUserVerifiedAutocorrected">
                <anchor>
                  <from>
                    <xdr:col>1</xdr:col>
                    <xdr:colOff>0</xdr:colOff>
                    <xdr:row>0</xdr:row>
                    <xdr:rowOff>47625</xdr:rowOff>
                  </from>
                  <to>
                    <xdr:col>2</xdr:col>
                    <xdr:colOff>771525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LookupInCity">
                <anchor>
                  <from>
                    <xdr:col>2</xdr:col>
                    <xdr:colOff>971550</xdr:colOff>
                    <xdr:row>0</xdr:row>
                    <xdr:rowOff>19050</xdr:rowOff>
                  </from>
                  <to>
                    <xdr:col>4</xdr:col>
                    <xdr:colOff>666750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Home</vt:lpstr>
      <vt:lpstr>NonRx Report</vt:lpstr>
      <vt:lpstr>Needs Autocorrect</vt:lpstr>
      <vt:lpstr>Rx Report</vt:lpstr>
      <vt:lpstr>Rx</vt:lpstr>
      <vt:lpstr>Addresses</vt:lpstr>
      <vt:lpstr>Discards</vt:lpstr>
      <vt:lpstr>Autocorrected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Gaithersburg HELP</dc:creator>
  <cp:lastModifiedBy>Franklin Choi</cp:lastModifiedBy>
  <dcterms:created xsi:type="dcterms:W3CDTF">2015-06-05T18:17:20Z</dcterms:created>
  <dcterms:modified xsi:type="dcterms:W3CDTF">2025-11-23T21:13:40Z</dcterms:modified>
</cp:coreProperties>
</file>