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bhpa\github\city_grant_address_report\"/>
    </mc:Choice>
  </mc:AlternateContent>
  <xr:revisionPtr revIDLastSave="0" documentId="13_ncr:1_{28FDBB4B-BCA2-4AFB-83EA-47295611B8A9}" xr6:coauthVersionLast="47" xr6:coauthVersionMax="47" xr10:uidLastSave="{00000000-0000-0000-0000-000000000000}"/>
  <bookViews>
    <workbookView xWindow="-120" yWindow="-120" windowWidth="20730" windowHeight="11040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Report'!$A$2:$AB$2</definedName>
    <definedName name="_xlnm._FilterDatabase" localSheetId="3" hidden="1">'Rx Report'!$A$2:$M$2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2" l="1"/>
  <c r="G6" i="2"/>
  <c r="AF3" i="2"/>
  <c r="AE3" i="2"/>
  <c r="AD3" i="2"/>
  <c r="AC3" i="2"/>
  <c r="O6" i="9" l="1"/>
  <c r="O5" i="9"/>
  <c r="O4" i="9"/>
  <c r="O3" i="9"/>
  <c r="O2" i="9"/>
  <c r="O3" i="2" l="1"/>
  <c r="N3" i="2"/>
  <c r="M3" i="2"/>
  <c r="L3" i="2"/>
  <c r="O4" i="2"/>
  <c r="N4" i="2"/>
  <c r="M4" i="2"/>
  <c r="L4" i="2"/>
  <c r="O5" i="2"/>
  <c r="N5" i="2"/>
  <c r="M5" i="2"/>
  <c r="L5" i="2"/>
  <c r="O2" i="2" l="1"/>
  <c r="N2" i="2"/>
  <c r="M2" i="2"/>
  <c r="L2" i="2"/>
  <c r="P5" i="2"/>
  <c r="P3" i="2"/>
  <c r="P4" i="2"/>
  <c r="P2" i="2" l="1"/>
</calcChain>
</file>

<file path=xl/sharedStrings.xml><?xml version="1.0" encoding="utf-8"?>
<sst xmlns="http://schemas.openxmlformats.org/spreadsheetml/2006/main" count="270" uniqueCount="157">
  <si>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</si>
  <si>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</si>
  <si>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</si>
  <si>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</si>
  <si>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</si>
  <si>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</si>
  <si>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</si>
  <si>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</si>
  <si>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</si>
  <si>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</si>
  <si>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</si>
  <si>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</si>
  <si>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</si>
  <si>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</si>
  <si>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</si>
  <si>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</si>
  <si>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</si>
  <si>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</si>
  <si>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</si>
  <si>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</si>
  <si>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</si>
  <si>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</si>
  <si>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</si>
  <si>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</si>
  <si>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</si>
  <si>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</si>
  <si>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</si>
  <si>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</si>
  <si>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</si>
  <si>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</si>
  <si>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</si>
  <si>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</si>
  <si>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</si>
  <si>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</si>
  <si>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</si>
  <si>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</si>
  <si>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</si>
  <si>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</si>
  <si>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individuals (# in all households, incl. multiple visits and services)</t>
  </si>
  <si>
    <t>Duplicated children ages 0-18</t>
  </si>
  <si>
    <t>Duplicated adults 18+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</si>
  <si>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</si>
  <si>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</si>
  <si>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</si>
  <si>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</si>
  <si>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</si>
  <si>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</si>
  <si>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</si>
  <si>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</si>
  <si>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</si>
  <si>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</si>
  <si>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</si>
  <si>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</si>
  <si>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</si>
  <si>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</si>
  <si>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</si>
  <si>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</si>
  <si>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</si>
  <si>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</si>
  <si>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</si>
  <si>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</si>
  <si>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</si>
  <si>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</si>
  <si>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</si>
  <si>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</si>
  <si>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</si>
  <si>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</si>
  <si>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</si>
  <si>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</si>
  <si>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</si>
  <si>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</si>
  <si>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</si>
  <si>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</si>
  <si>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</si>
  <si>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</si>
  <si>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</si>
  <si>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</si>
  <si>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</si>
  <si>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</si>
  <si>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</si>
  <si>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</si>
  <si>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</si>
  <si>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</si>
  <si>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</si>
  <si>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</si>
  <si>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</si>
  <si>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</si>
  <si>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</si>
  <si>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</si>
  <si>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</si>
  <si>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</si>
  <si>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</si>
  <si>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</si>
  <si>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</si>
  <si>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</si>
  <si>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</si>
  <si>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</si>
  <si>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</si>
  <si>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</si>
  <si>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</si>
  <si>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</si>
  <si>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most recent date:</t>
  </si>
  <si>
    <t>apikey: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</si>
  <si>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</si>
  <si>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</si>
  <si>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</si>
  <si>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</si>
  <si>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</si>
  <si>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</si>
  <si>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</si>
  <si>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</si>
  <si>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</si>
  <si>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</si>
  <si>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</si>
  <si>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</si>
  <si>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</si>
  <si>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</si>
  <si>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</si>
  <si>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</si>
  <si>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</si>
  <si>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</si>
  <si>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</si>
  <si>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</si>
  <si>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</si>
  <si>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</si>
  <si>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</si>
  <si>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</si>
  <si>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</si>
  <si>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</si>
  <si>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</si>
  <si>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</si>
  <si>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</si>
  <si>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</si>
  <si>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</si>
  <si>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</si>
  <si>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</si>
  <si>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</si>
  <si>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</si>
  <si>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</si>
  <si>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</si>
  <si>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</si>
  <si>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</si>
  <si>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</si>
  <si>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</si>
  <si>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</si>
  <si>
    <t>Discarded Guest IDs: (address may be in needs autocorrect, address record may not have been added, rx record may have no rx data)</t>
  </si>
  <si>
    <t>None</t>
  </si>
  <si>
    <t>Services included in totals:</t>
  </si>
  <si>
    <t>Unduplicated households in Gburg (# of unique Guest IDs, excluded if they came in previous quarters)</t>
  </si>
  <si>
    <t>Unduplicated individuals in Gburg (# in all households of unique Guest IDs, excluded if they came in previous quarters)</t>
  </si>
  <si>
    <t>Duplicated households in Gburg (# of Guest IDs, incl.multiple visits and services)</t>
  </si>
  <si>
    <t>Duplicated individuals in Gburg (# in all households, incl. multiple visits &amp; services)</t>
  </si>
  <si>
    <t>Duplicated individuals in Gburg / Duplicated individuals</t>
  </si>
  <si>
    <t>Estimated percentage of expenses which are in-city</t>
  </si>
  <si>
    <t>County (City + Non-City) Totals by Month</t>
  </si>
  <si>
    <t>Additional unduplicated individuals in Gburg who received a different delivery type (# of unduplicated individuals receiving delivery who also received nondelivery or vice versa earlier)</t>
  </si>
  <si>
    <t>version 3.15d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</si>
</sst>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7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  <xf numFmtId="0" fontId="9" fillId="0" borderId="0" applyNumberForma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0" fontId="9" fillId="0" borderId="0" xfId="6"/>
    <xf numFmtId="49" fontId="9" fillId="0" borderId="0" xfId="0" applyNumberFormat="1" applyFont="1"/>
    <xf numFmtId="164" fontId="8" fillId="0" borderId="0" xfId="0" applyNumberFormat="1" applyFont="1"/>
    <xf numFmtId="164" fontId="5" fillId="0" borderId="6" xfId="4"/>
    <xf numFmtId="0" fontId="0" fillId="0" borderId="0" xfId="0" applyAlignment="1">
      <alignment horizontal="right"/>
    </xf>
    <xf numFmtId="164" fontId="1" fillId="0" borderId="6" xfId="4" applyFont="1"/>
    <xf numFmtId="164" fontId="1" fillId="0" borderId="5" xfId="3" applyNumberFormat="1" applyFont="1"/>
  </cellXfs>
  <cellStyles count="7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  <cellStyle name="Warning Text" xfId="6" builtinId="1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1285875</xdr:colOff>
          <xdr:row>1</xdr:row>
          <xdr:rowOff>28575</xdr:rowOff>
        </xdr:from>
        <xdr:to>
          <xdr:col>2</xdr:col>
          <xdr:colOff>390525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409575</xdr:colOff>
          <xdr:row>1</xdr:row>
          <xdr:rowOff>38100</xdr:rowOff>
        </xdr:from>
        <xdr:to>
          <xdr:col>5</xdr:col>
          <xdr:colOff>504825</xdr:colOff>
          <xdr:row>3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</xdr:row>
          <xdr:rowOff>28575</xdr:rowOff>
        </xdr:from>
        <xdr:to>
          <xdr:col>0</xdr:col>
          <xdr:colOff>1266825</xdr:colOff>
          <xdr:row>3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171450</xdr:rowOff>
        </xdr:from>
        <xdr:to>
          <xdr:col>4</xdr:col>
          <xdr:colOff>57150</xdr:colOff>
          <xdr:row>5</xdr:row>
          <xdr:rowOff>123825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3</xdr:row>
          <xdr:rowOff>152400</xdr:rowOff>
        </xdr:from>
        <xdr:to>
          <xdr:col>5</xdr:col>
          <xdr:colOff>714375</xdr:colOff>
          <xdr:row>5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542925</xdr:colOff>
          <xdr:row>0</xdr:row>
          <xdr:rowOff>0</xdr:rowOff>
        </xdr:from>
        <xdr:to>
          <xdr:col>10</xdr:col>
          <xdr:colOff>333375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9525</xdr:rowOff>
        </xdr:from>
        <xdr:to>
          <xdr:col>4</xdr:col>
          <xdr:colOff>771525</xdr:colOff>
          <xdr:row>0</xdr:row>
          <xdr:rowOff>200025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371475</xdr:colOff>
          <xdr:row>0</xdr:row>
          <xdr:rowOff>9525</xdr:rowOff>
        </xdr:from>
        <xdr:to>
          <xdr:col>14</xdr:col>
          <xdr:colOff>57150</xdr:colOff>
          <xdr:row>0</xdr:row>
          <xdr:rowOff>200025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104775</xdr:colOff>
          <xdr:row>0</xdr:row>
          <xdr:rowOff>19050</xdr:rowOff>
        </xdr:from>
        <xdr:to>
          <xdr:col>16</xdr:col>
          <xdr:colOff>342900</xdr:colOff>
          <xdr:row>0</xdr:row>
          <xdr:rowOff>200025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219075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0</xdr:row>
          <xdr:rowOff>238125</xdr:rowOff>
        </xdr:from>
        <xdr:to>
          <xdr:col>6</xdr:col>
          <xdr:colOff>390525</xdr:colOff>
          <xdr:row>0</xdr:row>
          <xdr:rowOff>409575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5000 left until December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0</xdr:row>
          <xdr:rowOff>0</xdr:rowOff>
        </xdr:from>
        <xdr:to>
          <xdr:col>6</xdr:col>
          <xdr:colOff>485775</xdr:colOff>
          <xdr:row>0</xdr:row>
          <xdr:rowOff>200025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5</xdr:col>
          <xdr:colOff>0</xdr:colOff>
          <xdr:row>0</xdr:row>
          <xdr:rowOff>428625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123825</xdr:colOff>
          <xdr:row>0</xdr:row>
          <xdr:rowOff>219075</xdr:rowOff>
        </xdr:from>
        <xdr:to>
          <xdr:col>13</xdr:col>
          <xdr:colOff>123825</xdr:colOff>
          <xdr:row>0</xdr:row>
          <xdr:rowOff>409575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0</xdr:row>
          <xdr:rowOff>28575</xdr:rowOff>
        </xdr:from>
        <xdr:to>
          <xdr:col>2</xdr:col>
          <xdr:colOff>390525</xdr:colOff>
          <xdr:row>4</xdr:row>
          <xdr:rowOff>9525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Paste Additional Rx Records and 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0</xdr:colOff>
          <xdr:row>0</xdr:row>
          <xdr:rowOff>76200</xdr:rowOff>
        </xdr:from>
        <xdr:to>
          <xdr:col>17</xdr:col>
          <xdr:colOff>600075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9525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9525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0</xdr:row>
          <xdr:rowOff>0</xdr:rowOff>
        </xdr:from>
        <xdr:to>
          <xdr:col>7</xdr:col>
          <xdr:colOff>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19050</xdr:rowOff>
        </xdr:from>
        <xdr:to>
          <xdr:col>2</xdr:col>
          <xdr:colOff>495300</xdr:colOff>
          <xdr:row>0</xdr:row>
          <xdr:rowOff>180975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161925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47625</xdr:rowOff>
        </xdr:from>
        <xdr:to>
          <xdr:col>2</xdr:col>
          <xdr:colOff>771525</xdr:colOff>
          <xdr:row>0</xdr:row>
          <xdr:rowOff>219075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5</xdr:col>
          <xdr:colOff>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5" x14ac:dyDescent="0.25"/>
  <cols>
    <col min="1" max="1" width="21.85546875" style="5" customWidth="1"/>
    <col min="4" max="4" width="10.42578125" bestFit="1" customWidth="1"/>
    <col min="6" max="6" width="11.5703125" customWidth="1"/>
    <col min="9" max="9" width="10.5703125" bestFit="1" customWidth="1"/>
    <col min="10" max="11" width="10.42578125" bestFit="1" customWidth="1"/>
    <col min="12" max="12" width="10.5703125" bestFit="1" customWidth="1"/>
    <col min="13" max="13" width="10.42578125" bestFit="1" customWidth="1"/>
    <col min="14" max="14" width="6.42578125" customWidth="1"/>
    <col min="15" max="15" width="6.140625" customWidth="1"/>
    <col min="16" max="16" width="5.5703125" customWidth="1"/>
    <col min="17" max="18" width="5.85546875" customWidth="1"/>
    <col min="19" max="19" width="10.42578125" bestFit="1" customWidth="1"/>
    <col min="21" max="21" width="10.42578125" bestFit="1" customWidth="1"/>
    <col min="23" max="23" width="10.42578125" bestFit="1" customWidth="1"/>
    <col min="24" max="26" width="10.5703125" bestFit="1" customWidth="1"/>
    <col min="27" max="27" width="10.42578125" bestFit="1" customWidth="1"/>
    <col min="29" max="29" width="10.42578125" bestFit="1" customWidth="1"/>
    <col min="33" max="33" width="10.42578125" bestFit="1" customWidth="1"/>
    <col min="37" max="37" width="10.42578125" bestFit="1" customWidth="1"/>
    <col min="42" max="44" width="10.42578125" bestFit="1" customWidth="1"/>
    <col min="46" max="47" width="10.42578125" bestFit="1" customWidth="1"/>
    <col min="49" max="53" width="10.42578125" bestFit="1" customWidth="1"/>
    <col min="59" max="61" width="10.42578125" bestFit="1" customWidth="1"/>
    <col min="65" max="69" width="10.42578125" bestFit="1" customWidth="1"/>
    <col min="71" max="71" width="10.42578125" bestFit="1" customWidth="1"/>
    <col min="75" max="76" width="10.42578125" bestFit="1" customWidth="1"/>
    <col min="79" max="79" width="10.42578125" bestFit="1" customWidth="1"/>
    <col min="81" max="81" width="10.42578125" bestFit="1" customWidth="1"/>
    <col min="85" max="88" width="10.42578125" bestFit="1" customWidth="1"/>
    <col min="94" max="95" width="10.42578125" bestFit="1" customWidth="1"/>
  </cols>
  <sheetData>
    <row r="1" spans="1:97" x14ac:dyDescent="0.25">
      <c r="A1" s="5" t="s">
        <v>156</v>
      </c>
      <c r="B1" t="s">
        <v>101</v>
      </c>
      <c r="D1" s="3"/>
      <c r="E1" t="s">
        <v>102</v>
      </c>
      <c r="G1" s="11" t="s">
        <v>111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115</v>
      </c>
      <c r="R1" s="7" t="s">
        <v>104</v>
      </c>
      <c r="W1" s="7" t="s">
        <v>103</v>
      </c>
      <c r="AB1" s="11" t="s">
        <v>153</v>
      </c>
      <c r="AD1" s="1"/>
      <c r="AG1" s="8"/>
    </row>
    <row r="2" spans="1:97" x14ac:dyDescent="0.25">
      <c r="G2" s="8" t="s">
        <v>112</v>
      </c>
      <c r="L2">
        <f>SUM(L3:L4) - X7</f>
        <v>0</v>
      </c>
      <c r="M2">
        <f>SUM(M3:M4) - Y7</f>
        <v>0</v>
      </c>
      <c r="N2">
        <f>SUM(N3:N4) - Z7</f>
        <v>0</v>
      </c>
      <c r="O2">
        <f>SUM(O3:O4) - AA7</f>
        <v>0</v>
      </c>
      <c r="P2">
        <f>SUM(L2:O2)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  <c r="AC2" s="9" t="s">
        <v>0</v>
      </c>
      <c r="AD2" s="9" t="s">
        <v>1</v>
      </c>
      <c r="AE2" s="9" t="s">
        <v>2</v>
      </c>
      <c r="AF2" s="9" t="s">
        <v>3</v>
      </c>
      <c r="AG2" s="8"/>
    </row>
    <row r="3" spans="1:97" ht="15.75" thickBot="1" x14ac:dyDescent="0.3">
      <c r="G3" s="8" t="s">
        <v>113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148</v>
      </c>
      <c r="S3">
        <v>0</v>
      </c>
      <c r="T3">
        <v>0</v>
      </c>
      <c r="U3">
        <v>0</v>
      </c>
      <c r="V3">
        <v>0</v>
      </c>
      <c r="W3" s="8" t="s">
        <v>148</v>
      </c>
      <c r="X3">
        <v>0</v>
      </c>
      <c r="Y3">
        <v>0</v>
      </c>
      <c r="Z3">
        <v>0</v>
      </c>
      <c r="AA3">
        <v>0</v>
      </c>
      <c r="AB3" s="8" t="s">
        <v>152</v>
      </c>
      <c r="AC3" s="20" t="e">
        <f>TEXT(SUM(S6,X6)/SUM(D15:D17), "00.00%")</f>
        <v>#DIV/0!</v>
      </c>
      <c r="AD3" s="20" t="e">
        <f>TEXT(SUM(T6,Y6)/SUM(D18:D20), "00.00%")</f>
        <v>#DIV/0!</v>
      </c>
      <c r="AE3" s="20" t="e">
        <f>TEXT(SUM(U6,Z6)/SUM(D9:D11), "00.00%")</f>
        <v>#DIV/0!</v>
      </c>
      <c r="AF3" s="20" t="e">
        <f>TEXT(SUM(V6,AA6)/SUM(D12:D14), "00.00%")</f>
        <v>#DIV/0!</v>
      </c>
      <c r="AG3" s="8"/>
    </row>
    <row r="4" spans="1:97" ht="15.75" thickTop="1" x14ac:dyDescent="0.25">
      <c r="G4" s="8" t="s">
        <v>114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149</v>
      </c>
      <c r="S4">
        <v>0</v>
      </c>
      <c r="T4">
        <v>0</v>
      </c>
      <c r="U4">
        <v>0</v>
      </c>
      <c r="V4">
        <v>0</v>
      </c>
      <c r="W4" s="8" t="s">
        <v>149</v>
      </c>
      <c r="X4">
        <v>0</v>
      </c>
      <c r="Y4">
        <v>0</v>
      </c>
      <c r="Z4">
        <v>0</v>
      </c>
      <c r="AA4">
        <v>0</v>
      </c>
      <c r="AB4" s="19"/>
      <c r="AC4" s="10"/>
      <c r="AD4" s="10"/>
      <c r="AE4" s="10"/>
      <c r="AF4" s="10"/>
    </row>
    <row r="5" spans="1:97" x14ac:dyDescent="0.25">
      <c r="G5" s="8" t="s">
        <v>119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150</v>
      </c>
      <c r="S5">
        <v>0</v>
      </c>
      <c r="T5">
        <v>0</v>
      </c>
      <c r="U5">
        <v>0</v>
      </c>
      <c r="V5">
        <v>0</v>
      </c>
      <c r="W5" s="8" t="s">
        <v>150</v>
      </c>
      <c r="X5">
        <v>0</v>
      </c>
      <c r="Y5">
        <v>0</v>
      </c>
      <c r="Z5">
        <v>0</v>
      </c>
      <c r="AA5">
        <v>0</v>
      </c>
      <c r="AB5" s="8"/>
    </row>
    <row r="6" spans="1:97" ht="15.75" thickBot="1" x14ac:dyDescent="0.3">
      <c r="G6" s="15" t="str">
        <f>"Services included in nondelivery total - " &amp; R1</f>
        <v>Services included in nondelivery total - Non-delivery</v>
      </c>
      <c r="R6" s="8" t="s">
        <v>151</v>
      </c>
      <c r="S6">
        <v>0</v>
      </c>
      <c r="T6">
        <v>0</v>
      </c>
      <c r="U6">
        <v>0</v>
      </c>
      <c r="V6">
        <v>0</v>
      </c>
      <c r="W6" s="8" t="s">
        <v>151</v>
      </c>
      <c r="X6">
        <v>0</v>
      </c>
      <c r="Y6">
        <v>0</v>
      </c>
      <c r="Z6">
        <v>0</v>
      </c>
      <c r="AA6">
        <v>0</v>
      </c>
      <c r="AB6" s="8"/>
    </row>
    <row r="7" spans="1:97" ht="14.45" customHeight="1" thickTop="1" thickBot="1" x14ac:dyDescent="0.3">
      <c r="B7" s="4"/>
      <c r="G7" s="15" t="str">
        <f>"Services included in delivery total - " &amp; W1</f>
        <v>Services included in delivery total - Delivery</v>
      </c>
      <c r="R7" s="14" t="s">
        <v>142</v>
      </c>
      <c r="S7" s="12">
        <v>0</v>
      </c>
      <c r="T7" s="12">
        <v>0</v>
      </c>
      <c r="U7" s="12">
        <v>0</v>
      </c>
      <c r="V7" s="12">
        <v>0</v>
      </c>
      <c r="W7" s="21" t="s">
        <v>155</v>
      </c>
      <c r="X7" s="12">
        <v>0</v>
      </c>
      <c r="Y7" s="12">
        <v>0</v>
      </c>
      <c r="Z7" s="12">
        <v>0</v>
      </c>
      <c r="AA7" s="12">
        <v>0</v>
      </c>
      <c r="AB7" s="8"/>
    </row>
    <row r="8" spans="1:97" s="12" customFormat="1" ht="15.75" thickTop="1" x14ac:dyDescent="0.25">
      <c r="A8" s="22" t="s">
        <v>154</v>
      </c>
      <c r="B8" s="12" t="s">
        <v>35</v>
      </c>
      <c r="C8" s="12" t="s">
        <v>36</v>
      </c>
      <c r="D8" s="12" t="s">
        <v>38</v>
      </c>
      <c r="E8" s="12" t="s">
        <v>37</v>
      </c>
      <c r="F8" s="12" t="s">
        <v>39</v>
      </c>
      <c r="G8" s="12" t="s">
        <v>40</v>
      </c>
      <c r="H8" s="12" t="s">
        <v>41</v>
      </c>
      <c r="I8" s="12">
        <v>20861</v>
      </c>
      <c r="J8" s="12" t="s">
        <v>54</v>
      </c>
      <c r="K8" s="12" t="s">
        <v>55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56</v>
      </c>
      <c r="Q8" s="12">
        <v>20816</v>
      </c>
      <c r="R8" s="12">
        <v>20817</v>
      </c>
      <c r="S8" s="12">
        <v>20824</v>
      </c>
      <c r="T8" s="12" t="s">
        <v>57</v>
      </c>
      <c r="U8" s="12">
        <v>20827</v>
      </c>
      <c r="V8" s="12" t="s">
        <v>58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59</v>
      </c>
      <c r="AB8" s="12" t="s">
        <v>60</v>
      </c>
      <c r="AC8" s="12">
        <v>20871</v>
      </c>
      <c r="AD8" s="12" t="s">
        <v>61</v>
      </c>
      <c r="AE8" s="12" t="s">
        <v>62</v>
      </c>
      <c r="AF8" s="12" t="s">
        <v>63</v>
      </c>
      <c r="AG8" s="12">
        <v>20872</v>
      </c>
      <c r="AH8" s="12" t="s">
        <v>64</v>
      </c>
      <c r="AI8" s="12" t="s">
        <v>65</v>
      </c>
      <c r="AJ8" s="12" t="s">
        <v>66</v>
      </c>
      <c r="AK8" s="12">
        <v>20842</v>
      </c>
      <c r="AL8" s="12" t="s">
        <v>67</v>
      </c>
      <c r="AM8" s="12" t="s">
        <v>68</v>
      </c>
      <c r="AN8" s="12" t="s">
        <v>69</v>
      </c>
      <c r="AO8" s="12" t="s">
        <v>70</v>
      </c>
      <c r="AP8" s="12">
        <v>20883</v>
      </c>
      <c r="AQ8" s="12">
        <v>20884</v>
      </c>
      <c r="AR8" s="12">
        <v>20885</v>
      </c>
      <c r="AS8" s="12" t="s">
        <v>71</v>
      </c>
      <c r="AT8" s="12">
        <v>20898</v>
      </c>
      <c r="AU8" s="12">
        <v>20896</v>
      </c>
      <c r="AV8" s="12" t="s">
        <v>72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73</v>
      </c>
      <c r="BC8" s="12" t="s">
        <v>74</v>
      </c>
      <c r="BD8" s="12" t="s">
        <v>75</v>
      </c>
      <c r="BE8" s="12" t="s">
        <v>76</v>
      </c>
      <c r="BF8" s="12" t="s">
        <v>77</v>
      </c>
      <c r="BG8" s="12">
        <v>20830</v>
      </c>
      <c r="BH8" s="12">
        <v>20832</v>
      </c>
      <c r="BI8" s="12">
        <v>20837</v>
      </c>
      <c r="BJ8" s="12" t="s">
        <v>78</v>
      </c>
      <c r="BK8" s="12" t="s">
        <v>79</v>
      </c>
      <c r="BL8" s="12" t="s">
        <v>80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81</v>
      </c>
      <c r="BS8" s="12">
        <v>20853</v>
      </c>
      <c r="BT8" s="12" t="s">
        <v>82</v>
      </c>
      <c r="BU8" s="12" t="s">
        <v>83</v>
      </c>
      <c r="BV8" s="12" t="s">
        <v>84</v>
      </c>
      <c r="BW8" s="12">
        <v>20860</v>
      </c>
      <c r="BX8" s="12">
        <v>20868</v>
      </c>
      <c r="BY8" s="12" t="s">
        <v>85</v>
      </c>
      <c r="BZ8" s="12" t="s">
        <v>86</v>
      </c>
      <c r="CA8" s="12">
        <v>20901</v>
      </c>
      <c r="CB8" s="12" t="s">
        <v>87</v>
      </c>
      <c r="CC8" s="12">
        <v>20903</v>
      </c>
      <c r="CD8" s="12" t="s">
        <v>88</v>
      </c>
      <c r="CE8" s="12" t="s">
        <v>89</v>
      </c>
      <c r="CF8" s="12" t="s">
        <v>90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91</v>
      </c>
      <c r="CL8" s="12" t="s">
        <v>92</v>
      </c>
      <c r="CM8" s="12" t="s">
        <v>93</v>
      </c>
      <c r="CN8" s="12" t="s">
        <v>94</v>
      </c>
      <c r="CO8" s="12" t="s">
        <v>95</v>
      </c>
      <c r="CP8" s="12">
        <v>20918</v>
      </c>
      <c r="CQ8" s="12">
        <v>20880</v>
      </c>
      <c r="CR8" s="12" t="s">
        <v>96</v>
      </c>
      <c r="CS8" s="12" t="s">
        <v>97</v>
      </c>
    </row>
    <row r="9" spans="1:97" x14ac:dyDescent="0.25">
      <c r="A9" s="5" t="s">
        <v>42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25">
      <c r="A10" s="5" t="s">
        <v>43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25">
      <c r="A11" s="5" t="s">
        <v>44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25">
      <c r="A12" s="5" t="s">
        <v>45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25">
      <c r="A13" s="5" t="s">
        <v>46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25">
      <c r="A14" s="5" t="s">
        <v>47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25">
      <c r="A15" s="5" t="s">
        <v>48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25">
      <c r="A16" s="5" t="s">
        <v>49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25">
      <c r="A17" s="5" t="s">
        <v>50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25">
      <c r="A18" s="5" t="s">
        <v>51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25">
      <c r="A19" s="5" t="s">
        <v>52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25">
      <c r="A20" s="5" t="s">
        <v>53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25">
      <c r="A21" s="18" t="s">
        <v>147</v>
      </c>
    </row>
    <row r="22" spans="1:97" ht="26.25" x14ac:dyDescent="0.2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98</v>
      </c>
      <c r="M22" s="2" t="s">
        <v>99</v>
      </c>
      <c r="N22" s="2" t="s">
        <v>100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1285875</xdr:colOff>
                    <xdr:row>1</xdr:row>
                    <xdr:rowOff>28575</xdr:rowOff>
                  </from>
                  <to>
                    <xdr:col>2</xdr:col>
                    <xdr:colOff>390525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NonRxReport">
                <anchor>
                  <from>
                    <xdr:col>2</xdr:col>
                    <xdr:colOff>409575</xdr:colOff>
                    <xdr:row>1</xdr:row>
                    <xdr:rowOff>38100</xdr:rowOff>
                  </from>
                  <to>
                    <xdr:col>5</xdr:col>
                    <xdr:colOff>504825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9525</xdr:colOff>
                    <xdr:row>1</xdr:row>
                    <xdr:rowOff>28575</xdr:rowOff>
                  </from>
                  <to>
                    <xdr:col>0</xdr:col>
                    <xdr:colOff>1266825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171450</xdr:rowOff>
                  </from>
                  <to>
                    <xdr:col>4</xdr:col>
                    <xdr:colOff>57150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180975</xdr:colOff>
                    <xdr:row>3</xdr:row>
                    <xdr:rowOff>152400</xdr:rowOff>
                  </from>
                  <to>
                    <xdr:col>5</xdr:col>
                    <xdr:colOff>714375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AB2"/>
  <sheetViews>
    <sheetView workbookViewId="0">
      <selection activeCell="A2" sqref="A2"/>
    </sheetView>
  </sheetViews>
  <sheetFormatPr defaultRowHeight="15" x14ac:dyDescent="0.25"/>
  <cols>
    <col min="1" max="1" width="13.42578125" customWidth="1"/>
    <col min="2" max="2" width="14.7109375" customWidth="1"/>
    <col min="3" max="4" width="15" customWidth="1"/>
    <col min="5" max="5" width="7.42578125" customWidth="1"/>
    <col min="6" max="6" width="10.140625" customWidth="1"/>
    <col min="7" max="7" width="6.28515625" customWidth="1"/>
    <col min="8" max="8" width="7.28515625" customWidth="1"/>
    <col min="9" max="9" width="15.28515625" customWidth="1"/>
    <col min="10" max="10" width="15.140625" customWidth="1"/>
    <col min="11" max="11" width="11.42578125" customWidth="1"/>
    <col min="12" max="12" width="11.7109375" customWidth="1"/>
    <col min="13" max="13" width="6.5703125" customWidth="1"/>
    <col min="14" max="14" width="6.28515625" customWidth="1"/>
    <col min="15" max="15" width="6.7109375" customWidth="1"/>
    <col min="16" max="16" width="7.28515625" customWidth="1"/>
  </cols>
  <sheetData>
    <row r="1" spans="1:28" x14ac:dyDescent="0.25">
      <c r="A1" s="1" t="s">
        <v>109</v>
      </c>
      <c r="B1" s="1"/>
    </row>
    <row r="2" spans="1:28" ht="15.75" x14ac:dyDescent="0.25">
      <c r="A2" s="13" t="s">
        <v>105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106</v>
      </c>
      <c r="K2" s="13" t="s">
        <v>107</v>
      </c>
      <c r="L2" s="13" t="s">
        <v>108</v>
      </c>
      <c r="M2" s="13" t="s">
        <v>0</v>
      </c>
      <c r="N2" s="13" t="s">
        <v>1</v>
      </c>
      <c r="O2" s="13" t="s">
        <v>2</v>
      </c>
      <c r="P2" s="13" t="s">
        <v>3</v>
      </c>
      <c r="Q2" s="13" t="s">
        <v>42</v>
      </c>
      <c r="R2" s="13" t="s">
        <v>43</v>
      </c>
      <c r="S2" s="13" t="s">
        <v>44</v>
      </c>
      <c r="T2" s="13" t="s">
        <v>45</v>
      </c>
      <c r="U2" s="13" t="s">
        <v>46</v>
      </c>
      <c r="V2" s="13" t="s">
        <v>47</v>
      </c>
      <c r="W2" s="13" t="s">
        <v>48</v>
      </c>
      <c r="X2" s="13" t="s">
        <v>49</v>
      </c>
      <c r="Y2" s="13" t="s">
        <v>50</v>
      </c>
      <c r="Z2" s="13" t="s">
        <v>51</v>
      </c>
      <c r="AA2" s="13" t="s">
        <v>52</v>
      </c>
      <c r="AB2" s="13" t="s">
        <v>53</v>
      </c>
    </row>
  </sheetData>
  <sheetProtection sheet="1" objects="1" scenarios="1" formatColumns="0" formatRows="0" sort="0" autoFilter="0"/>
  <protectedRanges>
    <protectedRange sqref="A3:A1048576" name="Initials"/>
  </protectedRanges>
  <autoFilter ref="A2:AB2" xr:uid="{102E5C0F-B345-4EB1-B540-C5334DBE4EED}"/>
  <sortState xmlns:xlrd2="http://schemas.microsoft.com/office/spreadsheetml/2017/richdata2" ref="A3:AB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5" max="5" width="12" customWidth="1"/>
  </cols>
  <sheetData>
    <row r="1" spans="1:18" ht="48.95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542925</xdr:colOff>
                    <xdr:row>0</xdr:row>
                    <xdr:rowOff>0</xdr:rowOff>
                  </from>
                  <to>
                    <xdr:col>10</xdr:col>
                    <xdr:colOff>333375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9525</xdr:rowOff>
                  </from>
                  <to>
                    <xdr:col>4</xdr:col>
                    <xdr:colOff>771525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371475</xdr:colOff>
                    <xdr:row>0</xdr:row>
                    <xdr:rowOff>9525</xdr:rowOff>
                  </from>
                  <to>
                    <xdr:col>14</xdr:col>
                    <xdr:colOff>57150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104775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123825</xdr:colOff>
                    <xdr:row>0</xdr:row>
                    <xdr:rowOff>238125</xdr:rowOff>
                  </from>
                  <to>
                    <xdr:col>6</xdr:col>
                    <xdr:colOff>390525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47625</xdr:colOff>
                    <xdr:row>0</xdr:row>
                    <xdr:rowOff>0</xdr:rowOff>
                  </from>
                  <to>
                    <xdr:col>6</xdr:col>
                    <xdr:colOff>485775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828675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123825</xdr:colOff>
                    <xdr:row>0</xdr:row>
                    <xdr:rowOff>219075</xdr:rowOff>
                  </from>
                  <to>
                    <xdr:col>13</xdr:col>
                    <xdr:colOff>123825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5" x14ac:dyDescent="0.25"/>
  <cols>
    <col min="1" max="1" width="13.42578125" customWidth="1"/>
    <col min="2" max="2" width="14.7109375" customWidth="1"/>
    <col min="3" max="4" width="15" customWidth="1"/>
    <col min="5" max="5" width="7.42578125" customWidth="1"/>
    <col min="6" max="6" width="10.140625" customWidth="1"/>
    <col min="7" max="7" width="6.28515625" customWidth="1"/>
    <col min="8" max="8" width="7.28515625" customWidth="1"/>
    <col min="9" max="9" width="15.28515625" customWidth="1"/>
  </cols>
  <sheetData>
    <row r="1" spans="1:13" x14ac:dyDescent="0.25">
      <c r="A1" s="1" t="s">
        <v>110</v>
      </c>
      <c r="B1" s="1"/>
    </row>
    <row r="2" spans="1:13" ht="15.75" x14ac:dyDescent="0.25">
      <c r="A2" s="13" t="s">
        <v>105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sortState xmlns:xlrd2="http://schemas.microsoft.com/office/spreadsheetml/2017/richdata2" ref="A3:M7">
    <sortCondition ref="C3:C9"/>
    <sortCondition ref="B3:B9"/>
    <sortCondition ref="D3:D9"/>
    <sortCondition ref="F3:F9"/>
  </sortState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/>
  </sheetViews>
  <sheetFormatPr defaultRowHeight="15" x14ac:dyDescent="0.25"/>
  <cols>
    <col min="1" max="1" width="10.7109375" style="5" bestFit="1" customWidth="1"/>
    <col min="8" max="9" width="11.5703125" customWidth="1"/>
    <col min="10" max="10" width="11.42578125" customWidth="1"/>
  </cols>
  <sheetData>
    <row r="1" spans="1:21" x14ac:dyDescent="0.25">
      <c r="G1" s="11" t="s">
        <v>116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118</v>
      </c>
      <c r="P1" s="8"/>
    </row>
    <row r="2" spans="1:21" x14ac:dyDescent="0.25">
      <c r="G2" s="8" t="s">
        <v>117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25">
      <c r="G3" s="8" t="s">
        <v>120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25">
      <c r="G4" s="8" t="s">
        <v>121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25">
      <c r="G5" s="8" t="s">
        <v>143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25">
      <c r="G6" s="8" t="s">
        <v>144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25">
      <c r="G7" s="15" t="s">
        <v>141</v>
      </c>
      <c r="I7" s="5" t="s">
        <v>146</v>
      </c>
      <c r="P7" s="8"/>
    </row>
    <row r="8" spans="1:21" ht="15.75" thickBot="1" x14ac:dyDescent="0.3">
      <c r="G8" s="15" t="s">
        <v>145</v>
      </c>
      <c r="I8" s="16" t="s">
        <v>146</v>
      </c>
      <c r="K8" s="17"/>
      <c r="P8" s="8"/>
    </row>
    <row r="9" spans="1:21" ht="15.75" thickTop="1" x14ac:dyDescent="0.25">
      <c r="G9" s="10"/>
      <c r="H9" s="10"/>
      <c r="I9" s="10"/>
      <c r="J9" s="10"/>
      <c r="K9" s="10"/>
      <c r="L9" s="10"/>
      <c r="M9" s="10"/>
      <c r="N9" s="10"/>
      <c r="O9" s="10"/>
    </row>
    <row r="10" spans="1:21" ht="90" x14ac:dyDescent="0.25">
      <c r="A10" s="6" t="s">
        <v>4</v>
      </c>
      <c r="B10" s="2" t="s">
        <v>6</v>
      </c>
      <c r="C10" s="2" t="s">
        <v>122</v>
      </c>
      <c r="D10" s="2" t="s">
        <v>123</v>
      </c>
      <c r="E10" s="2" t="s">
        <v>124</v>
      </c>
      <c r="F10" s="2" t="s">
        <v>125</v>
      </c>
      <c r="G10" s="2" t="s">
        <v>126</v>
      </c>
      <c r="H10" s="2" t="s">
        <v>127</v>
      </c>
      <c r="I10" s="2" t="s">
        <v>128</v>
      </c>
      <c r="J10" s="2" t="s">
        <v>129</v>
      </c>
      <c r="K10" s="2" t="s">
        <v>130</v>
      </c>
      <c r="L10" s="2" t="s">
        <v>131</v>
      </c>
      <c r="M10" s="2" t="s">
        <v>132</v>
      </c>
      <c r="N10" s="2" t="s">
        <v>133</v>
      </c>
      <c r="O10" s="2" t="s">
        <v>134</v>
      </c>
      <c r="P10" s="2" t="s">
        <v>135</v>
      </c>
      <c r="Q10" s="2" t="s">
        <v>136</v>
      </c>
      <c r="R10" s="2" t="s">
        <v>137</v>
      </c>
      <c r="S10" s="2" t="s">
        <v>138</v>
      </c>
      <c r="T10" s="2" t="s">
        <v>139</v>
      </c>
      <c r="U10" s="2" t="s">
        <v>140</v>
      </c>
    </row>
  </sheetData>
  <sheetProtection sheet="1" objects="1" scenarios="1" formatColumns="0" formatRows="0" sort="0" autoFilter="0"/>
  <protectedRanges>
    <protectedRange sqref="A11:XFD1048576" name="PasteRxRecords"/>
  </protectedRanges>
  <sortState xmlns:xlrd2="http://schemas.microsoft.com/office/spreadsheetml/2017/richdata2" ref="A11:U21">
    <sortCondition ref="A1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firmPasteRxRecordsCalculate">
                <anchor>
                  <from>
                    <xdr:col>0</xdr:col>
                    <xdr:colOff>9525</xdr:colOff>
                    <xdr:row>0</xdr:row>
                    <xdr:rowOff>28575</xdr:rowOff>
                  </from>
                  <to>
                    <xdr:col>2</xdr:col>
                    <xdr:colOff>390525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0</xdr:colOff>
                    <xdr:row>0</xdr:row>
                    <xdr:rowOff>76200</xdr:rowOff>
                  </from>
                  <to>
                    <xdr:col>17</xdr:col>
                    <xdr:colOff>600075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5" x14ac:dyDescent="0.25"/>
  <cols>
    <col min="3" max="3" width="7.85546875" customWidth="1"/>
    <col min="5" max="5" width="7.85546875" customWidth="1"/>
    <col min="6" max="6" width="9.42578125" customWidth="1"/>
    <col min="7" max="7" width="9.140625" customWidth="1"/>
    <col min="8" max="9" width="7.7109375" customWidth="1"/>
    <col min="13" max="13" width="11.140625" customWidth="1"/>
    <col min="14" max="14" width="12.5703125" customWidth="1"/>
  </cols>
  <sheetData>
    <row r="1" spans="1:18" ht="38.450000000000003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9525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85725</xdr:colOff>
                    <xdr:row>0</xdr:row>
                    <xdr:rowOff>9525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180975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5" x14ac:dyDescent="0.25"/>
  <cols>
    <col min="9" max="10" width="15" customWidth="1"/>
  </cols>
  <sheetData>
    <row r="1" spans="1:18" ht="30.95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85725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161925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2" width="6.85546875" customWidth="1"/>
    <col min="3" max="3" width="18.140625" customWidth="1"/>
    <col min="4" max="4" width="9.42578125" customWidth="1"/>
    <col min="5" max="5" width="9.7109375" customWidth="1"/>
    <col min="6" max="6" width="12.42578125" customWidth="1"/>
    <col min="8" max="8" width="16.7109375" customWidth="1"/>
    <col min="13" max="13" width="12.5703125" customWidth="1"/>
    <col min="14" max="14" width="11.5703125" customWidth="1"/>
  </cols>
  <sheetData>
    <row r="1" spans="1:18" ht="33.950000000000003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47625</xdr:rowOff>
                  </from>
                  <to>
                    <xdr:col>2</xdr:col>
                    <xdr:colOff>771525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Gaithersburg HELP</cp:lastModifiedBy>
  <dcterms:created xsi:type="dcterms:W3CDTF">2015-06-05T18:17:20Z</dcterms:created>
  <dcterms:modified xsi:type="dcterms:W3CDTF">2025-11-27T00:19:29Z</dcterms:modified>
</cp:coreProperties>
</file>